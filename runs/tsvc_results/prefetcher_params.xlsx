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parkw\gem5\tsvc_results\"/>
    </mc:Choice>
  </mc:AlternateContent>
  <xr:revisionPtr revIDLastSave="0" documentId="13_ncr:1_{146A23A6-F767-457C-A5B3-92728EB6543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efetcher Parameters" sheetId="1" r:id="rId1"/>
    <sheet name="Base" sheetId="2" r:id="rId2"/>
    <sheet name="Stride" sheetId="3" r:id="rId3"/>
    <sheet name="IMP" sheetId="4" r:id="rId4"/>
    <sheet name="VIMP" sheetId="7" r:id="rId5"/>
    <sheet name="ISB" sheetId="5" r:id="rId6"/>
    <sheet name="STeM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6" i="3" l="1" a="1"/>
  <c r="H196" i="3" s="1"/>
  <c r="F29" i="2" a="1"/>
  <c r="F29" i="2" s="1"/>
  <c r="K2" i="7" a="1"/>
  <c r="K2" i="7" s="1"/>
  <c r="H2" i="6" a="1"/>
  <c r="H73" i="6" s="1"/>
  <c r="H91" i="5"/>
  <c r="H83" i="5"/>
  <c r="H75" i="5"/>
  <c r="H67" i="5"/>
  <c r="H59" i="5"/>
  <c r="H51" i="5"/>
  <c r="H43" i="5"/>
  <c r="H35" i="5"/>
  <c r="H27" i="5"/>
  <c r="H19" i="5"/>
  <c r="H11" i="5"/>
  <c r="H3" i="5"/>
  <c r="H2" i="5" a="1"/>
  <c r="H90" i="5" s="1"/>
  <c r="H2" i="3" a="1"/>
  <c r="H186" i="3" s="1"/>
  <c r="F2" i="2" a="1"/>
  <c r="F18" i="2" s="1"/>
  <c r="H8" i="4"/>
  <c r="H6" i="4"/>
  <c r="H5" i="4"/>
  <c r="H4" i="4"/>
  <c r="H3" i="4"/>
  <c r="H2" i="4" a="1"/>
  <c r="H9" i="4" s="1"/>
  <c r="F20" i="2" l="1"/>
  <c r="F5" i="2"/>
  <c r="F21" i="2"/>
  <c r="F11" i="2"/>
  <c r="F12" i="2"/>
  <c r="F13" i="2"/>
  <c r="F15" i="2"/>
  <c r="F3" i="2"/>
  <c r="F19" i="2"/>
  <c r="F4" i="2"/>
  <c r="F7" i="2"/>
  <c r="F23" i="2"/>
  <c r="H99" i="3"/>
  <c r="H4" i="3"/>
  <c r="H27" i="3"/>
  <c r="H46" i="3"/>
  <c r="H68" i="3"/>
  <c r="H92" i="3"/>
  <c r="H124" i="3"/>
  <c r="H156" i="3"/>
  <c r="H188" i="3"/>
  <c r="H6" i="3"/>
  <c r="H11" i="3"/>
  <c r="H30" i="3"/>
  <c r="H52" i="3"/>
  <c r="H75" i="3"/>
  <c r="H100" i="3"/>
  <c r="H132" i="3"/>
  <c r="H164" i="3"/>
  <c r="H51" i="3"/>
  <c r="H163" i="3"/>
  <c r="H12" i="3"/>
  <c r="H35" i="3"/>
  <c r="H54" i="3"/>
  <c r="H76" i="3"/>
  <c r="H107" i="3"/>
  <c r="H139" i="3"/>
  <c r="H171" i="3"/>
  <c r="H131" i="3"/>
  <c r="H14" i="3"/>
  <c r="H36" i="3"/>
  <c r="H59" i="3"/>
  <c r="H78" i="3"/>
  <c r="H108" i="3"/>
  <c r="H140" i="3"/>
  <c r="H172" i="3"/>
  <c r="H28" i="3"/>
  <c r="H19" i="3"/>
  <c r="H38" i="3"/>
  <c r="H60" i="3"/>
  <c r="H83" i="3"/>
  <c r="H115" i="3"/>
  <c r="H147" i="3"/>
  <c r="H179" i="3"/>
  <c r="H20" i="3"/>
  <c r="H43" i="3"/>
  <c r="H62" i="3"/>
  <c r="H84" i="3"/>
  <c r="H116" i="3"/>
  <c r="H148" i="3"/>
  <c r="H180" i="3"/>
  <c r="H70" i="3"/>
  <c r="H3" i="3"/>
  <c r="H22" i="3"/>
  <c r="H44" i="3"/>
  <c r="H67" i="3"/>
  <c r="H91" i="3"/>
  <c r="H123" i="3"/>
  <c r="H155" i="3"/>
  <c r="H187" i="3"/>
  <c r="H10" i="6"/>
  <c r="H18" i="6"/>
  <c r="H26" i="6"/>
  <c r="H34" i="6"/>
  <c r="H42" i="6"/>
  <c r="H50" i="6"/>
  <c r="H58" i="6"/>
  <c r="H66" i="6"/>
  <c r="H7" i="4"/>
  <c r="F6" i="2"/>
  <c r="F14" i="2"/>
  <c r="F22" i="2"/>
  <c r="H5" i="3"/>
  <c r="H13" i="3"/>
  <c r="H21" i="3"/>
  <c r="H29" i="3"/>
  <c r="H37" i="3"/>
  <c r="H45" i="3"/>
  <c r="H53" i="3"/>
  <c r="H61" i="3"/>
  <c r="H69" i="3"/>
  <c r="H77" i="3"/>
  <c r="H85" i="3"/>
  <c r="H93" i="3"/>
  <c r="H101" i="3"/>
  <c r="H109" i="3"/>
  <c r="H117" i="3"/>
  <c r="H125" i="3"/>
  <c r="H133" i="3"/>
  <c r="H141" i="3"/>
  <c r="H149" i="3"/>
  <c r="H157" i="3"/>
  <c r="H165" i="3"/>
  <c r="H173" i="3"/>
  <c r="H181" i="3"/>
  <c r="H189" i="3"/>
  <c r="H4" i="5"/>
  <c r="H12" i="5"/>
  <c r="H20" i="5"/>
  <c r="H28" i="5"/>
  <c r="H36" i="5"/>
  <c r="H44" i="5"/>
  <c r="H52" i="5"/>
  <c r="H60" i="5"/>
  <c r="H68" i="5"/>
  <c r="H76" i="5"/>
  <c r="H84" i="5"/>
  <c r="H92" i="5"/>
  <c r="H3" i="6"/>
  <c r="H11" i="6"/>
  <c r="H19" i="6"/>
  <c r="H27" i="6"/>
  <c r="H35" i="6"/>
  <c r="H43" i="6"/>
  <c r="H51" i="6"/>
  <c r="H59" i="6"/>
  <c r="H67" i="6"/>
  <c r="H86" i="3"/>
  <c r="H94" i="3"/>
  <c r="H102" i="3"/>
  <c r="H110" i="3"/>
  <c r="H118" i="3"/>
  <c r="H126" i="3"/>
  <c r="H134" i="3"/>
  <c r="H142" i="3"/>
  <c r="H150" i="3"/>
  <c r="H158" i="3"/>
  <c r="H166" i="3"/>
  <c r="H174" i="3"/>
  <c r="H182" i="3"/>
  <c r="H190" i="3"/>
  <c r="H5" i="5"/>
  <c r="H13" i="5"/>
  <c r="H21" i="5"/>
  <c r="H29" i="5"/>
  <c r="H37" i="5"/>
  <c r="H45" i="5"/>
  <c r="H53" i="5"/>
  <c r="H61" i="5"/>
  <c r="H69" i="5"/>
  <c r="H77" i="5"/>
  <c r="H85" i="5"/>
  <c r="H93" i="5"/>
  <c r="H4" i="6"/>
  <c r="H12" i="6"/>
  <c r="H20" i="6"/>
  <c r="H28" i="6"/>
  <c r="H36" i="6"/>
  <c r="H44" i="6"/>
  <c r="H52" i="6"/>
  <c r="H60" i="6"/>
  <c r="H68" i="6"/>
  <c r="H2" i="4"/>
  <c r="F8" i="2"/>
  <c r="F16" i="2"/>
  <c r="F24" i="2"/>
  <c r="H7" i="3"/>
  <c r="H15" i="3"/>
  <c r="H23" i="3"/>
  <c r="H31" i="3"/>
  <c r="H39" i="3"/>
  <c r="H47" i="3"/>
  <c r="H55" i="3"/>
  <c r="H63" i="3"/>
  <c r="H71" i="3"/>
  <c r="H79" i="3"/>
  <c r="H87" i="3"/>
  <c r="H95" i="3"/>
  <c r="H103" i="3"/>
  <c r="H111" i="3"/>
  <c r="H119" i="3"/>
  <c r="H127" i="3"/>
  <c r="H135" i="3"/>
  <c r="H143" i="3"/>
  <c r="H151" i="3"/>
  <c r="H159" i="3"/>
  <c r="H167" i="3"/>
  <c r="H175" i="3"/>
  <c r="H183" i="3"/>
  <c r="H191" i="3"/>
  <c r="H6" i="5"/>
  <c r="H14" i="5"/>
  <c r="H22" i="5"/>
  <c r="H30" i="5"/>
  <c r="H38" i="5"/>
  <c r="H46" i="5"/>
  <c r="H54" i="5"/>
  <c r="H62" i="5"/>
  <c r="H70" i="5"/>
  <c r="H78" i="5"/>
  <c r="H86" i="5"/>
  <c r="H94" i="5"/>
  <c r="H5" i="6"/>
  <c r="H13" i="6"/>
  <c r="H21" i="6"/>
  <c r="H29" i="6"/>
  <c r="H37" i="6"/>
  <c r="H45" i="6"/>
  <c r="H53" i="6"/>
  <c r="H61" i="6"/>
  <c r="H69" i="6"/>
  <c r="F2" i="2"/>
  <c r="F9" i="2"/>
  <c r="F17" i="2"/>
  <c r="F25" i="2"/>
  <c r="H8" i="3"/>
  <c r="H16" i="3"/>
  <c r="H24" i="3"/>
  <c r="H32" i="3"/>
  <c r="H40" i="3"/>
  <c r="H48" i="3"/>
  <c r="H56" i="3"/>
  <c r="H64" i="3"/>
  <c r="H72" i="3"/>
  <c r="H80" i="3"/>
  <c r="H88" i="3"/>
  <c r="H96" i="3"/>
  <c r="H104" i="3"/>
  <c r="H112" i="3"/>
  <c r="H120" i="3"/>
  <c r="H128" i="3"/>
  <c r="H136" i="3"/>
  <c r="H144" i="3"/>
  <c r="H152" i="3"/>
  <c r="H160" i="3"/>
  <c r="H168" i="3"/>
  <c r="H176" i="3"/>
  <c r="H184" i="3"/>
  <c r="H192" i="3"/>
  <c r="H7" i="5"/>
  <c r="H15" i="5"/>
  <c r="H23" i="5"/>
  <c r="H31" i="5"/>
  <c r="H39" i="5"/>
  <c r="H47" i="5"/>
  <c r="H55" i="5"/>
  <c r="H63" i="5"/>
  <c r="H71" i="5"/>
  <c r="H79" i="5"/>
  <c r="H87" i="5"/>
  <c r="H95" i="5"/>
  <c r="H6" i="6"/>
  <c r="H14" i="6"/>
  <c r="H22" i="6"/>
  <c r="H30" i="6"/>
  <c r="H38" i="6"/>
  <c r="H46" i="6"/>
  <c r="H54" i="6"/>
  <c r="H62" i="6"/>
  <c r="H70" i="6"/>
  <c r="F10" i="2"/>
  <c r="H2" i="3"/>
  <c r="H9" i="3"/>
  <c r="H17" i="3"/>
  <c r="H25" i="3"/>
  <c r="H33" i="3"/>
  <c r="H41" i="3"/>
  <c r="H49" i="3"/>
  <c r="H57" i="3"/>
  <c r="H65" i="3"/>
  <c r="H73" i="3"/>
  <c r="H81" i="3"/>
  <c r="H89" i="3"/>
  <c r="H97" i="3"/>
  <c r="H105" i="3"/>
  <c r="H113" i="3"/>
  <c r="H121" i="3"/>
  <c r="H129" i="3"/>
  <c r="H137" i="3"/>
  <c r="H145" i="3"/>
  <c r="H153" i="3"/>
  <c r="H161" i="3"/>
  <c r="H169" i="3"/>
  <c r="H177" i="3"/>
  <c r="H185" i="3"/>
  <c r="H193" i="3"/>
  <c r="H8" i="5"/>
  <c r="H16" i="5"/>
  <c r="H24" i="5"/>
  <c r="H32" i="5"/>
  <c r="H40" i="5"/>
  <c r="H48" i="5"/>
  <c r="H56" i="5"/>
  <c r="H64" i="5"/>
  <c r="H72" i="5"/>
  <c r="H80" i="5"/>
  <c r="H88" i="5"/>
  <c r="H96" i="5"/>
  <c r="H7" i="6"/>
  <c r="H15" i="6"/>
  <c r="H23" i="6"/>
  <c r="H31" i="6"/>
  <c r="H39" i="6"/>
  <c r="H47" i="6"/>
  <c r="H55" i="6"/>
  <c r="H63" i="6"/>
  <c r="H71" i="6"/>
  <c r="H10" i="3"/>
  <c r="H18" i="3"/>
  <c r="H26" i="3"/>
  <c r="H34" i="3"/>
  <c r="H42" i="3"/>
  <c r="H50" i="3"/>
  <c r="H58" i="3"/>
  <c r="H66" i="3"/>
  <c r="H74" i="3"/>
  <c r="H82" i="3"/>
  <c r="H90" i="3"/>
  <c r="H98" i="3"/>
  <c r="H106" i="3"/>
  <c r="H114" i="3"/>
  <c r="H122" i="3"/>
  <c r="H130" i="3"/>
  <c r="H138" i="3"/>
  <c r="H146" i="3"/>
  <c r="H154" i="3"/>
  <c r="H162" i="3"/>
  <c r="H170" i="3"/>
  <c r="H178" i="3"/>
  <c r="H2" i="5"/>
  <c r="H9" i="5"/>
  <c r="H17" i="5"/>
  <c r="H25" i="5"/>
  <c r="H33" i="5"/>
  <c r="H41" i="5"/>
  <c r="H49" i="5"/>
  <c r="H57" i="5"/>
  <c r="H65" i="5"/>
  <c r="H73" i="5"/>
  <c r="H81" i="5"/>
  <c r="H89" i="5"/>
  <c r="H97" i="5"/>
  <c r="H8" i="6"/>
  <c r="H16" i="6"/>
  <c r="H24" i="6"/>
  <c r="H32" i="6"/>
  <c r="H40" i="6"/>
  <c r="H48" i="6"/>
  <c r="H56" i="6"/>
  <c r="H64" i="6"/>
  <c r="H72" i="6"/>
  <c r="H10" i="5"/>
  <c r="H18" i="5"/>
  <c r="H26" i="5"/>
  <c r="H34" i="5"/>
  <c r="H42" i="5"/>
  <c r="H50" i="5"/>
  <c r="H58" i="5"/>
  <c r="H66" i="5"/>
  <c r="H74" i="5"/>
  <c r="H82" i="5"/>
  <c r="H2" i="6"/>
  <c r="H9" i="6"/>
  <c r="H17" i="6"/>
  <c r="H25" i="6"/>
  <c r="H33" i="6"/>
  <c r="H41" i="6"/>
  <c r="H49" i="6"/>
  <c r="H57" i="6"/>
  <c r="H6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<sst xmlns="http://schemas.openxmlformats.org/spreadsheetml/2006/main" count="1455" uniqueCount="100">
  <si>
    <t>Kernel</t>
  </si>
  <si>
    <t>Iterations</t>
  </si>
  <si>
    <t>Array Size</t>
  </si>
  <si>
    <t>max_prefetch_distance</t>
  </si>
  <si>
    <t>streaming_distance</t>
  </si>
  <si>
    <t>Instructions</t>
  </si>
  <si>
    <t>Cycles</t>
  </si>
  <si>
    <t>IPC</t>
  </si>
  <si>
    <t>VL1 Miss Rate</t>
  </si>
  <si>
    <t>Issued</t>
  </si>
  <si>
    <t>Accuracy</t>
  </si>
  <si>
    <t>Coverage</t>
  </si>
  <si>
    <t>Wall Clock Time (s)</t>
  </si>
  <si>
    <t>s353</t>
  </si>
  <si>
    <t>tiny</t>
  </si>
  <si>
    <t>s491</t>
  </si>
  <si>
    <t>s4112</t>
  </si>
  <si>
    <t>s4113</t>
  </si>
  <si>
    <t>s4114</t>
  </si>
  <si>
    <t>s4115</t>
  </si>
  <si>
    <t>s4116</t>
  </si>
  <si>
    <t>s4117</t>
  </si>
  <si>
    <t>Base + Queued Parameters</t>
  </si>
  <si>
    <t>Stride Parameters</t>
  </si>
  <si>
    <t>IMP Parameters</t>
  </si>
  <si>
    <t>ISB Parameters</t>
  </si>
  <si>
    <t>STeMS Parameters</t>
  </si>
  <si>
    <t>on_miss</t>
  </si>
  <si>
    <t>confidence_counter_bits</t>
  </si>
  <si>
    <t>pt_table_entries</t>
  </si>
  <si>
    <t>num_counter_bits</t>
  </si>
  <si>
    <t>spatial_region_size</t>
  </si>
  <si>
    <t>on_read</t>
  </si>
  <si>
    <t>initial_confidence</t>
  </si>
  <si>
    <t>chunk_size</t>
  </si>
  <si>
    <t>active_generation_table_entries</t>
  </si>
  <si>
    <t>on_write</t>
  </si>
  <si>
    <t>confidence_threshold</t>
  </si>
  <si>
    <t>num_indirect_counter_bits</t>
  </si>
  <si>
    <t>degree</t>
  </si>
  <si>
    <t>pattern_sequence_table_entries</t>
  </si>
  <si>
    <t>on_data</t>
  </si>
  <si>
    <t>use_requestor_id</t>
  </si>
  <si>
    <t>ipd_table_entries</t>
  </si>
  <si>
    <t>training_unit_entries</t>
  </si>
  <si>
    <t>region_miss_order_buffer_entries</t>
  </si>
  <si>
    <t>on_inst</t>
  </si>
  <si>
    <t>use_cache_line_address</t>
  </si>
  <si>
    <t>shift_values</t>
  </si>
  <si>
    <t>prefetch_candidates_per_entry</t>
  </si>
  <si>
    <t>add_duplicate_entries_to_rmob</t>
  </si>
  <si>
    <t>prefetch_on_access</t>
  </si>
  <si>
    <t>addr_array_len</t>
  </si>
  <si>
    <t>ps/sp_address_map_cache_entries</t>
  </si>
  <si>
    <t>reconstruction_entries</t>
  </si>
  <si>
    <t>prefetch_on_pf_hit</t>
  </si>
  <si>
    <t>distance</t>
  </si>
  <si>
    <t>prefetch_threshold</t>
  </si>
  <si>
    <t>use_virtual_addresses</t>
  </si>
  <si>
    <t>table_assoc</t>
  </si>
  <si>
    <t>stream_counter_threshold</t>
  </si>
  <si>
    <t>page_bytes</t>
  </si>
  <si>
    <t>table_entries</t>
  </si>
  <si>
    <t>latency</t>
  </si>
  <si>
    <t>table_indexing_policy</t>
  </si>
  <si>
    <t>queue_size</t>
  </si>
  <si>
    <t>table_replacement_policy</t>
  </si>
  <si>
    <t>max_pf_requests_with_pending_translation</t>
  </si>
  <si>
    <t>queue_squash</t>
  </si>
  <si>
    <t>queue_filter</t>
  </si>
  <si>
    <t>cache_snoop</t>
  </si>
  <si>
    <t>tag_prefetch</t>
  </si>
  <si>
    <t>throttle_control_percentage</t>
  </si>
  <si>
    <t>PT, IPD, Training Unit, PS/SP AMCs, AGT, and PST are all fully associative with LRU replacement</t>
  </si>
  <si>
    <t>on_write = True, ensures indexed stores trigger prefetches as well. First set of parameter sweeps is always default configuration.</t>
  </si>
  <si>
    <t>Array Length Configs</t>
  </si>
  <si>
    <t>LEN_1D</t>
  </si>
  <si>
    <t>LEN_2D</t>
  </si>
  <si>
    <t>small</t>
  </si>
  <si>
    <t>medium</t>
  </si>
  <si>
    <t>large</t>
  </si>
  <si>
    <t>huge</t>
  </si>
  <si>
    <t xml:space="preserve">chunk_size </t>
  </si>
  <si>
    <t>2 KiB</t>
  </si>
  <si>
    <t>4 KiB</t>
  </si>
  <si>
    <t>Checksum</t>
  </si>
  <si>
    <t>indirect_delta</t>
  </si>
  <si>
    <t>ipd_indices_per_chunk</t>
  </si>
  <si>
    <t>PageRank</t>
  </si>
  <si>
    <t>BFSCC</t>
  </si>
  <si>
    <t>CF</t>
  </si>
  <si>
    <t>Rounds</t>
  </si>
  <si>
    <t>Input Graph</t>
  </si>
  <si>
    <t>rMatGraph_J_5_100</t>
  </si>
  <si>
    <t>sum = 0.980078125 max = 0.0213933138716</t>
  </si>
  <si>
    <t>components = 4 labelSum = 46</t>
  </si>
  <si>
    <t>For multiple rounds, we take the last round's stats</t>
  </si>
  <si>
    <t>rMatGraph_WJ_5_100</t>
  </si>
  <si>
    <t>latentSum = 1279.98837849</t>
  </si>
  <si>
    <t>spmv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</si>
</sst>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quotePrefix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64" fontId="1" fillId="2" borderId="0" xfId="0" applyNumberFormat="1" applyFont="1" applyFill="1"/>
    <xf numFmtId="164" fontId="0" fillId="0" borderId="0" xfId="0" applyNumberFormat="1"/>
    <xf numFmtId="1" fontId="1" fillId="2" borderId="0" xfId="0" applyNumberFormat="1" applyFont="1" applyFill="1"/>
    <xf numFmtId="1" fontId="0" fillId="0" borderId="0" xfId="0" applyNumberFormat="1"/>
    <xf numFmtId="2" fontId="1" fillId="2" borderId="0" xfId="0" applyNumberFormat="1" applyFont="1" applyFill="1"/>
    <xf numFmtId="2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opLeftCell="A20" workbookViewId="0">
      <selection activeCell="B25" sqref="B25"/>
    </sheetView>
  </sheetViews>
  <sheetFormatPr defaultRowHeight="14.5" x14ac:dyDescent="0.35"/>
  <cols>
    <col min="1" max="1" width="26.26953125" customWidth="1"/>
    <col min="2" max="3" width="40.1796875" customWidth="1"/>
    <col min="4" max="4" width="37.7265625" customWidth="1"/>
    <col min="5" max="5" width="28" customWidth="1"/>
  </cols>
  <sheetData>
    <row r="1" spans="1:5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</row>
    <row r="3" spans="1:5" x14ac:dyDescent="0.35">
      <c r="A3" t="s">
        <v>32</v>
      </c>
      <c r="B3" t="s">
        <v>33</v>
      </c>
      <c r="C3" t="s">
        <v>3</v>
      </c>
      <c r="D3" t="s">
        <v>34</v>
      </c>
      <c r="E3" t="s">
        <v>35</v>
      </c>
    </row>
    <row r="4" spans="1:5" x14ac:dyDescent="0.35">
      <c r="A4" t="s">
        <v>36</v>
      </c>
      <c r="B4" t="s">
        <v>37</v>
      </c>
      <c r="C4" t="s">
        <v>38</v>
      </c>
      <c r="D4" t="s">
        <v>39</v>
      </c>
      <c r="E4" t="s">
        <v>40</v>
      </c>
    </row>
    <row r="5" spans="1:5" x14ac:dyDescent="0.35">
      <c r="A5" t="s">
        <v>41</v>
      </c>
      <c r="B5" t="s">
        <v>42</v>
      </c>
      <c r="C5" t="s">
        <v>43</v>
      </c>
      <c r="D5" t="s">
        <v>44</v>
      </c>
      <c r="E5" t="s">
        <v>45</v>
      </c>
    </row>
    <row r="6" spans="1:5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5" x14ac:dyDescent="0.35">
      <c r="A7" t="s">
        <v>51</v>
      </c>
      <c r="B7" t="s">
        <v>39</v>
      </c>
      <c r="C7" t="s">
        <v>52</v>
      </c>
      <c r="D7" t="s">
        <v>53</v>
      </c>
      <c r="E7" t="s">
        <v>54</v>
      </c>
    </row>
    <row r="8" spans="1:5" x14ac:dyDescent="0.35">
      <c r="A8" t="s">
        <v>55</v>
      </c>
      <c r="B8" t="s">
        <v>56</v>
      </c>
      <c r="C8" t="s">
        <v>57</v>
      </c>
    </row>
    <row r="9" spans="1:5" x14ac:dyDescent="0.35">
      <c r="A9" t="s">
        <v>58</v>
      </c>
      <c r="B9" t="s">
        <v>59</v>
      </c>
      <c r="C9" t="s">
        <v>60</v>
      </c>
    </row>
    <row r="10" spans="1:5" x14ac:dyDescent="0.35">
      <c r="A10" t="s">
        <v>61</v>
      </c>
      <c r="B10" t="s">
        <v>62</v>
      </c>
      <c r="C10" t="s">
        <v>4</v>
      </c>
    </row>
    <row r="11" spans="1:5" x14ac:dyDescent="0.35">
      <c r="A11" t="s">
        <v>63</v>
      </c>
      <c r="B11" t="s">
        <v>64</v>
      </c>
    </row>
    <row r="12" spans="1:5" ht="14.5" customHeight="1" x14ac:dyDescent="0.35">
      <c r="A12" t="s">
        <v>65</v>
      </c>
      <c r="B12" t="s">
        <v>66</v>
      </c>
    </row>
    <row r="13" spans="1:5" ht="29" customHeight="1" x14ac:dyDescent="0.35">
      <c r="A13" s="3" t="s">
        <v>67</v>
      </c>
    </row>
    <row r="14" spans="1:5" x14ac:dyDescent="0.35">
      <c r="A14" t="s">
        <v>68</v>
      </c>
    </row>
    <row r="15" spans="1:5" x14ac:dyDescent="0.35">
      <c r="A15" t="s">
        <v>69</v>
      </c>
    </row>
    <row r="16" spans="1:5" x14ac:dyDescent="0.35">
      <c r="A16" t="s">
        <v>70</v>
      </c>
    </row>
    <row r="17" spans="1:3" x14ac:dyDescent="0.35">
      <c r="A17" t="s">
        <v>71</v>
      </c>
    </row>
    <row r="18" spans="1:3" x14ac:dyDescent="0.35">
      <c r="A18" t="s">
        <v>72</v>
      </c>
    </row>
    <row r="20" spans="1:3" ht="58" customHeight="1" x14ac:dyDescent="0.35">
      <c r="A20" s="2" t="s">
        <v>73</v>
      </c>
      <c r="B20" s="4" t="s">
        <v>74</v>
      </c>
    </row>
    <row r="21" spans="1:3" ht="15" customHeight="1" thickBot="1" x14ac:dyDescent="0.4"/>
    <row r="22" spans="1:3" ht="15" customHeight="1" thickBot="1" x14ac:dyDescent="0.4">
      <c r="A22" s="5" t="s">
        <v>75</v>
      </c>
      <c r="B22" s="5" t="s">
        <v>76</v>
      </c>
      <c r="C22" s="5" t="s">
        <v>77</v>
      </c>
    </row>
    <row r="23" spans="1:3" ht="15" customHeight="1" thickBot="1" x14ac:dyDescent="0.4">
      <c r="A23" s="5" t="s">
        <v>14</v>
      </c>
      <c r="B23" s="6">
        <v>15360</v>
      </c>
      <c r="C23" s="6">
        <v>128</v>
      </c>
    </row>
    <row r="24" spans="1:3" ht="15" customHeight="1" thickBot="1" x14ac:dyDescent="0.4">
      <c r="A24" s="5" t="s">
        <v>78</v>
      </c>
      <c r="B24" s="6">
        <v>30720</v>
      </c>
      <c r="C24" s="6">
        <v>256</v>
      </c>
    </row>
    <row r="25" spans="1:3" ht="15" customHeight="1" thickBot="1" x14ac:dyDescent="0.4">
      <c r="A25" s="5" t="s">
        <v>79</v>
      </c>
      <c r="B25" s="6">
        <v>256000</v>
      </c>
      <c r="C25" s="6">
        <v>512</v>
      </c>
    </row>
    <row r="26" spans="1:3" ht="15" customHeight="1" thickBot="1" x14ac:dyDescent="0.4">
      <c r="A26" s="5" t="s">
        <v>80</v>
      </c>
      <c r="B26" s="6">
        <v>1024000</v>
      </c>
      <c r="C26" s="6">
        <v>1024</v>
      </c>
    </row>
    <row r="27" spans="1:3" ht="15" customHeight="1" thickBot="1" x14ac:dyDescent="0.4">
      <c r="A27" s="5" t="s">
        <v>81</v>
      </c>
      <c r="B27" s="6">
        <v>4096000</v>
      </c>
      <c r="C27" s="6">
        <v>2048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tabSelected="1" topLeftCell="A28" workbookViewId="0">
      <selection activeCell="A46" sqref="A46"/>
    </sheetView>
  </sheetViews>
  <sheetFormatPr defaultRowHeight="14.5" x14ac:dyDescent="0.35"/>
  <cols>
    <col min="1" max="1" width="8.81640625" bestFit="1" customWidth="1"/>
    <col min="2" max="2" width="7.1796875" bestFit="1" customWidth="1"/>
    <col min="3" max="3" width="18.36328125" bestFit="1" customWidth="1"/>
    <col min="4" max="4" width="10.90625" bestFit="1" customWidth="1"/>
    <col min="5" max="5" width="6.81640625" bestFit="1" customWidth="1"/>
    <col min="6" max="6" width="6.90625" style="8" bestFit="1" customWidth="1"/>
    <col min="7" max="7" width="12.1796875" style="8" bestFit="1" customWidth="1"/>
    <col min="8" max="8" width="16.81640625" bestFit="1" customWidth="1"/>
    <col min="9" max="9" width="37.08984375" style="14" bestFit="1" customWidth="1"/>
    <col min="10" max="10" width="6.36328125" bestFit="1" customWidth="1"/>
    <col min="11" max="12" width="8.54296875" bestFit="1" customWidth="1"/>
    <col min="13" max="13" width="16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7" t="s">
        <v>7</v>
      </c>
      <c r="G1" s="7" t="s">
        <v>8</v>
      </c>
      <c r="H1" s="1" t="s">
        <v>12</v>
      </c>
      <c r="I1" s="13" t="s">
        <v>85</v>
      </c>
    </row>
    <row r="2" spans="1:9" x14ac:dyDescent="0.35">
      <c r="A2" t="s">
        <v>13</v>
      </c>
      <c r="B2">
        <v>1</v>
      </c>
      <c r="C2" t="s">
        <v>14</v>
      </c>
      <c r="D2">
        <v>5058</v>
      </c>
      <c r="E2">
        <v>31093</v>
      </c>
      <c r="F2" s="8">
        <f t="array" ref="F2:F25">D2:D25 / E2:E25</f>
        <v>0.16267327051104749</v>
      </c>
      <c r="G2" s="8">
        <v>0.64221499999999998</v>
      </c>
      <c r="H2">
        <v>0.21</v>
      </c>
      <c r="I2" s="14">
        <v>30720</v>
      </c>
    </row>
    <row r="3" spans="1:9" x14ac:dyDescent="0.35">
      <c r="A3" t="s">
        <v>15</v>
      </c>
      <c r="B3">
        <v>1</v>
      </c>
      <c r="C3" t="s">
        <v>14</v>
      </c>
      <c r="D3">
        <v>4417</v>
      </c>
      <c r="E3">
        <v>30745</v>
      </c>
      <c r="F3" s="8">
        <v>0.14366563668889251</v>
      </c>
      <c r="G3" s="8">
        <v>0.69885399999999998</v>
      </c>
      <c r="H3">
        <v>0.22</v>
      </c>
      <c r="I3" s="14">
        <v>15361.640625</v>
      </c>
    </row>
    <row r="4" spans="1:9" x14ac:dyDescent="0.35">
      <c r="A4" t="s">
        <v>16</v>
      </c>
      <c r="B4">
        <v>1</v>
      </c>
      <c r="C4" t="s">
        <v>14</v>
      </c>
      <c r="D4">
        <v>3696</v>
      </c>
      <c r="E4">
        <v>29235</v>
      </c>
      <c r="F4" s="8">
        <v>0.12642380708055412</v>
      </c>
      <c r="G4" s="8">
        <v>0.62368400000000002</v>
      </c>
      <c r="H4">
        <v>-0.28999999999999998</v>
      </c>
      <c r="I4" s="14">
        <v>15368.869140999999</v>
      </c>
    </row>
    <row r="5" spans="1:9" x14ac:dyDescent="0.35">
      <c r="A5" t="s">
        <v>17</v>
      </c>
      <c r="B5">
        <v>1</v>
      </c>
      <c r="C5" t="s">
        <v>14</v>
      </c>
      <c r="D5">
        <v>3455</v>
      </c>
      <c r="E5">
        <v>45463</v>
      </c>
      <c r="F5" s="8">
        <v>7.5995864769152932E-2</v>
      </c>
      <c r="G5" s="8">
        <v>0.64485300000000001</v>
      </c>
      <c r="H5">
        <v>0.27</v>
      </c>
      <c r="I5" s="14">
        <v>15361.640625</v>
      </c>
    </row>
    <row r="6" spans="1:9" x14ac:dyDescent="0.35">
      <c r="A6" t="s">
        <v>18</v>
      </c>
      <c r="B6">
        <v>1</v>
      </c>
      <c r="C6" t="s">
        <v>14</v>
      </c>
      <c r="D6">
        <v>4673</v>
      </c>
      <c r="E6">
        <v>28630</v>
      </c>
      <c r="F6" s="8">
        <v>0.16322039818372336</v>
      </c>
      <c r="G6" s="8">
        <v>0.690052</v>
      </c>
      <c r="H6">
        <v>0.22</v>
      </c>
      <c r="I6" s="14">
        <v>15360</v>
      </c>
    </row>
    <row r="7" spans="1:9" x14ac:dyDescent="0.35">
      <c r="A7" t="s">
        <v>19</v>
      </c>
      <c r="B7">
        <v>1</v>
      </c>
      <c r="C7" t="s">
        <v>14</v>
      </c>
      <c r="D7">
        <v>4414</v>
      </c>
      <c r="E7">
        <v>25145</v>
      </c>
      <c r="F7" s="8">
        <v>0.17554185722807716</v>
      </c>
      <c r="G7" s="8">
        <v>0.65839099999999995</v>
      </c>
      <c r="H7">
        <v>0.2</v>
      </c>
      <c r="I7" s="14">
        <v>1.0386359999999999</v>
      </c>
    </row>
    <row r="8" spans="1:9" x14ac:dyDescent="0.35">
      <c r="A8" t="s">
        <v>20</v>
      </c>
      <c r="B8">
        <v>1</v>
      </c>
      <c r="C8" t="s">
        <v>14</v>
      </c>
      <c r="D8">
        <v>6277</v>
      </c>
      <c r="E8">
        <v>14865</v>
      </c>
      <c r="F8" s="8">
        <v>0.42226707029936089</v>
      </c>
      <c r="G8" s="8">
        <v>6.8060000000000004E-3</v>
      </c>
      <c r="H8">
        <v>0.15</v>
      </c>
      <c r="I8" s="14">
        <v>0.75323300000000004</v>
      </c>
    </row>
    <row r="9" spans="1:9" x14ac:dyDescent="0.35">
      <c r="A9" t="s">
        <v>21</v>
      </c>
      <c r="B9">
        <v>1</v>
      </c>
      <c r="C9" t="s">
        <v>14</v>
      </c>
      <c r="D9">
        <v>5379</v>
      </c>
      <c r="E9">
        <v>24780</v>
      </c>
      <c r="F9" s="8">
        <v>0.21707021791767556</v>
      </c>
      <c r="G9" s="8">
        <v>0.51293900000000003</v>
      </c>
      <c r="H9">
        <v>0.19</v>
      </c>
      <c r="I9" s="14">
        <v>15362.205078000001</v>
      </c>
    </row>
    <row r="10" spans="1:9" x14ac:dyDescent="0.35">
      <c r="A10" t="s">
        <v>13</v>
      </c>
      <c r="B10">
        <v>5</v>
      </c>
      <c r="C10" t="s">
        <v>14</v>
      </c>
      <c r="D10">
        <v>24798</v>
      </c>
      <c r="E10">
        <v>113998</v>
      </c>
      <c r="F10" s="8">
        <v>0.21753013210758085</v>
      </c>
      <c r="G10" s="8">
        <v>0.62556400000000001</v>
      </c>
      <c r="H10">
        <v>0.73</v>
      </c>
      <c r="I10" s="14">
        <v>92160</v>
      </c>
    </row>
    <row r="11" spans="1:9" x14ac:dyDescent="0.35">
      <c r="A11" t="s">
        <v>15</v>
      </c>
      <c r="B11">
        <v>5</v>
      </c>
      <c r="C11" t="s">
        <v>14</v>
      </c>
      <c r="D11">
        <v>21825</v>
      </c>
      <c r="E11">
        <v>152998</v>
      </c>
      <c r="F11" s="8">
        <v>0.14264892351534006</v>
      </c>
      <c r="G11" s="8">
        <v>0.69887500000000002</v>
      </c>
      <c r="H11">
        <v>0.74</v>
      </c>
      <c r="I11" s="14">
        <v>15361.640625</v>
      </c>
    </row>
    <row r="12" spans="1:9" x14ac:dyDescent="0.35">
      <c r="A12" t="s">
        <v>16</v>
      </c>
      <c r="B12">
        <v>5</v>
      </c>
      <c r="C12" t="s">
        <v>14</v>
      </c>
      <c r="D12">
        <v>18222</v>
      </c>
      <c r="E12">
        <v>145506</v>
      </c>
      <c r="F12" s="8">
        <v>0.1252319491979712</v>
      </c>
      <c r="G12" s="8">
        <v>0.62331599999999998</v>
      </c>
      <c r="H12">
        <v>0.68</v>
      </c>
      <c r="I12" s="14">
        <v>15409.833984000001</v>
      </c>
    </row>
    <row r="13" spans="1:9" x14ac:dyDescent="0.35">
      <c r="A13" t="s">
        <v>17</v>
      </c>
      <c r="B13">
        <v>5</v>
      </c>
      <c r="C13" t="s">
        <v>14</v>
      </c>
      <c r="D13">
        <v>17007</v>
      </c>
      <c r="E13">
        <v>226319</v>
      </c>
      <c r="F13" s="8">
        <v>7.5146143275641897E-2</v>
      </c>
      <c r="G13" s="8">
        <v>0.644841</v>
      </c>
      <c r="H13">
        <v>1.07</v>
      </c>
      <c r="I13" s="14">
        <v>15361.640625</v>
      </c>
    </row>
    <row r="14" spans="1:9" x14ac:dyDescent="0.35">
      <c r="A14" t="s">
        <v>18</v>
      </c>
      <c r="B14">
        <v>5</v>
      </c>
      <c r="C14" t="s">
        <v>14</v>
      </c>
      <c r="D14">
        <v>23056</v>
      </c>
      <c r="E14">
        <v>142217</v>
      </c>
      <c r="F14" s="8">
        <v>0.16211845278693826</v>
      </c>
      <c r="G14" s="8">
        <v>0.69004200000000004</v>
      </c>
      <c r="H14">
        <v>0.76</v>
      </c>
      <c r="I14" s="14">
        <v>15360</v>
      </c>
    </row>
    <row r="15" spans="1:9" x14ac:dyDescent="0.35">
      <c r="A15" t="s">
        <v>19</v>
      </c>
      <c r="B15">
        <v>5</v>
      </c>
      <c r="C15" t="s">
        <v>14</v>
      </c>
      <c r="D15">
        <v>21810</v>
      </c>
      <c r="E15">
        <v>124965</v>
      </c>
      <c r="F15" s="8">
        <v>0.17452886808306325</v>
      </c>
      <c r="G15" s="8">
        <v>0.65839099999999995</v>
      </c>
      <c r="H15">
        <v>0.68</v>
      </c>
      <c r="I15" s="14">
        <v>1.0386359999999999</v>
      </c>
    </row>
    <row r="16" spans="1:9" x14ac:dyDescent="0.35">
      <c r="A16" t="s">
        <v>20</v>
      </c>
      <c r="B16">
        <v>5</v>
      </c>
      <c r="C16" t="s">
        <v>14</v>
      </c>
      <c r="D16">
        <v>31077</v>
      </c>
      <c r="E16">
        <v>72847</v>
      </c>
      <c r="F16" s="8">
        <v>0.42660644913311463</v>
      </c>
      <c r="G16" s="8">
        <v>1.361E-3</v>
      </c>
      <c r="H16">
        <v>0.49</v>
      </c>
      <c r="I16" s="14">
        <v>0.75323300000000004</v>
      </c>
    </row>
    <row r="17" spans="1:13" x14ac:dyDescent="0.35">
      <c r="A17" t="s">
        <v>21</v>
      </c>
      <c r="B17">
        <v>5</v>
      </c>
      <c r="C17" t="s">
        <v>14</v>
      </c>
      <c r="D17">
        <v>26630</v>
      </c>
      <c r="E17">
        <v>122720</v>
      </c>
      <c r="F17" s="8">
        <v>0.2169980443285528</v>
      </c>
      <c r="G17" s="8">
        <v>0.51282899999999998</v>
      </c>
      <c r="H17">
        <v>0.73</v>
      </c>
      <c r="I17" s="14">
        <v>15362.205078000001</v>
      </c>
    </row>
    <row r="18" spans="1:13" x14ac:dyDescent="0.35">
      <c r="A18" t="s">
        <v>13</v>
      </c>
      <c r="B18">
        <v>10</v>
      </c>
      <c r="C18" t="s">
        <v>14</v>
      </c>
      <c r="D18">
        <v>49513</v>
      </c>
      <c r="E18">
        <v>218189</v>
      </c>
      <c r="F18" s="8">
        <v>0.22692711364917573</v>
      </c>
      <c r="G18" s="8">
        <v>0.62231300000000001</v>
      </c>
      <c r="H18">
        <v>1.36</v>
      </c>
      <c r="I18" s="14">
        <v>168960</v>
      </c>
    </row>
    <row r="19" spans="1:13" x14ac:dyDescent="0.35">
      <c r="A19" t="s">
        <v>15</v>
      </c>
      <c r="B19">
        <v>10</v>
      </c>
      <c r="C19" t="s">
        <v>14</v>
      </c>
      <c r="D19">
        <v>43580</v>
      </c>
      <c r="E19">
        <v>305808</v>
      </c>
      <c r="F19" s="8">
        <v>0.14250771726050332</v>
      </c>
      <c r="G19" s="8">
        <v>0.69886499999999996</v>
      </c>
      <c r="H19">
        <v>1.53</v>
      </c>
      <c r="I19" s="14">
        <v>15361.640625</v>
      </c>
    </row>
    <row r="20" spans="1:13" x14ac:dyDescent="0.35">
      <c r="A20" t="s">
        <v>16</v>
      </c>
      <c r="B20">
        <v>10</v>
      </c>
      <c r="C20" t="s">
        <v>14</v>
      </c>
      <c r="D20">
        <v>36372</v>
      </c>
      <c r="E20">
        <v>290681</v>
      </c>
      <c r="F20" s="8">
        <v>0.12512685727653339</v>
      </c>
      <c r="G20" s="8">
        <v>0.62324400000000002</v>
      </c>
      <c r="H20">
        <v>1.37</v>
      </c>
      <c r="I20" s="14">
        <v>15462.979492</v>
      </c>
    </row>
    <row r="21" spans="1:13" x14ac:dyDescent="0.35">
      <c r="A21" t="s">
        <v>17</v>
      </c>
      <c r="B21">
        <v>10</v>
      </c>
      <c r="C21" t="s">
        <v>14</v>
      </c>
      <c r="D21">
        <v>33942</v>
      </c>
      <c r="E21">
        <v>452352</v>
      </c>
      <c r="F21" s="8">
        <v>7.5034486417657045E-2</v>
      </c>
      <c r="G21" s="8">
        <v>0.644868</v>
      </c>
      <c r="H21">
        <v>2.15</v>
      </c>
      <c r="I21" s="14">
        <v>15361.640625</v>
      </c>
    </row>
    <row r="22" spans="1:13" x14ac:dyDescent="0.35">
      <c r="A22" t="s">
        <v>18</v>
      </c>
      <c r="B22">
        <v>10</v>
      </c>
      <c r="C22" t="s">
        <v>14</v>
      </c>
      <c r="D22">
        <v>46021</v>
      </c>
      <c r="E22">
        <v>284077</v>
      </c>
      <c r="F22" s="8">
        <v>0.16200185161065486</v>
      </c>
      <c r="G22" s="8">
        <v>0.69004699999999997</v>
      </c>
      <c r="H22">
        <v>1.51</v>
      </c>
      <c r="I22" s="14">
        <v>15360</v>
      </c>
    </row>
    <row r="23" spans="1:13" x14ac:dyDescent="0.35">
      <c r="A23" t="s">
        <v>19</v>
      </c>
      <c r="B23">
        <v>10</v>
      </c>
      <c r="C23" t="s">
        <v>14</v>
      </c>
      <c r="D23">
        <v>43550</v>
      </c>
      <c r="E23">
        <v>249648</v>
      </c>
      <c r="F23" s="8">
        <v>0.17444561943216047</v>
      </c>
      <c r="G23" s="8">
        <v>0.65839099999999995</v>
      </c>
      <c r="H23">
        <v>1.33</v>
      </c>
      <c r="I23" s="14">
        <v>1.0386359999999999</v>
      </c>
    </row>
    <row r="24" spans="1:13" x14ac:dyDescent="0.35">
      <c r="A24" t="s">
        <v>20</v>
      </c>
      <c r="B24">
        <v>10</v>
      </c>
      <c r="C24" t="s">
        <v>14</v>
      </c>
      <c r="D24">
        <v>62077</v>
      </c>
      <c r="E24">
        <v>145425</v>
      </c>
      <c r="F24" s="8">
        <v>0.42686608217294136</v>
      </c>
      <c r="G24" s="8">
        <v>6.8099999999999996E-4</v>
      </c>
      <c r="H24">
        <v>0.9</v>
      </c>
      <c r="I24" s="14">
        <v>0.75323300000000004</v>
      </c>
    </row>
    <row r="25" spans="1:13" x14ac:dyDescent="0.35">
      <c r="A25" t="s">
        <v>21</v>
      </c>
      <c r="B25">
        <v>10</v>
      </c>
      <c r="C25" t="s">
        <v>14</v>
      </c>
      <c r="D25">
        <v>53190</v>
      </c>
      <c r="E25">
        <v>245220</v>
      </c>
      <c r="F25" s="8">
        <v>0.21690726694396867</v>
      </c>
      <c r="G25" s="8">
        <v>0.51319099999999995</v>
      </c>
      <c r="H25">
        <v>1.44</v>
      </c>
      <c r="I25" s="14">
        <v>15362.205078000001</v>
      </c>
    </row>
    <row r="28" spans="1:13" x14ac:dyDescent="0.35">
      <c r="A28" s="1" t="s">
        <v>0</v>
      </c>
      <c r="B28" s="1" t="s">
        <v>91</v>
      </c>
      <c r="C28" s="1" t="s">
        <v>92</v>
      </c>
      <c r="D28" s="1" t="s">
        <v>5</v>
      </c>
      <c r="E28" s="1" t="s">
        <v>6</v>
      </c>
      <c r="F28" s="7" t="s">
        <v>7</v>
      </c>
      <c r="G28" s="7" t="s">
        <v>8</v>
      </c>
      <c r="H28" s="1" t="s">
        <v>12</v>
      </c>
      <c r="I28" s="13" t="s">
        <v>85</v>
      </c>
    </row>
    <row r="29" spans="1:13" x14ac:dyDescent="0.35">
      <c r="A29" t="s">
        <v>88</v>
      </c>
      <c r="B29">
        <v>1</v>
      </c>
      <c r="C29" t="s">
        <v>93</v>
      </c>
      <c r="D29">
        <v>512923</v>
      </c>
      <c r="E29">
        <v>349893</v>
      </c>
      <c r="F29" s="8" cm="1">
        <f t="array" ref="F29:F37" xml:space="preserve"> D29:D37 / E29:E37</f>
        <v>1.4659424452618373</v>
      </c>
      <c r="G29" s="8">
        <v>0.67671700000000001</v>
      </c>
      <c r="H29" s="8">
        <v>2.06</v>
      </c>
      <c r="I29" s="12" t="s">
        <v>94</v>
      </c>
      <c r="J29" s="12"/>
      <c r="K29" s="12"/>
      <c r="M29" s="10"/>
    </row>
    <row r="30" spans="1:13" x14ac:dyDescent="0.35">
      <c r="A30" t="s">
        <v>89</v>
      </c>
      <c r="B30">
        <v>1</v>
      </c>
      <c r="C30" t="s">
        <v>93</v>
      </c>
      <c r="D30">
        <v>34695</v>
      </c>
      <c r="E30">
        <v>30188</v>
      </c>
      <c r="F30" s="8">
        <v>1.1492977341990194</v>
      </c>
      <c r="G30" s="8">
        <v>0.76190500000000005</v>
      </c>
      <c r="H30">
        <v>0.28000000000000003</v>
      </c>
      <c r="I30" s="14" t="s">
        <v>95</v>
      </c>
      <c r="J30" s="12"/>
      <c r="K30" s="12"/>
      <c r="M30" s="10"/>
    </row>
    <row r="31" spans="1:13" x14ac:dyDescent="0.35">
      <c r="A31" t="s">
        <v>90</v>
      </c>
      <c r="B31">
        <v>1</v>
      </c>
      <c r="C31" t="s">
        <v>97</v>
      </c>
      <c r="D31">
        <v>474041</v>
      </c>
      <c r="E31">
        <v>633253</v>
      </c>
      <c r="F31" s="8">
        <v>0.74858074103083605</v>
      </c>
      <c r="G31" s="8">
        <v>8.1767000000000006E-2</v>
      </c>
      <c r="H31" s="8">
        <v>2.44</v>
      </c>
      <c r="I31" s="12" t="s">
        <v>98</v>
      </c>
      <c r="J31" s="12"/>
      <c r="K31" s="12"/>
      <c r="M31" s="10"/>
    </row>
    <row r="32" spans="1:13" x14ac:dyDescent="0.35">
      <c r="A32" t="s">
        <v>88</v>
      </c>
      <c r="B32">
        <v>5</v>
      </c>
      <c r="C32" t="s">
        <v>93</v>
      </c>
      <c r="D32">
        <v>512923</v>
      </c>
      <c r="E32">
        <v>347795</v>
      </c>
      <c r="F32" s="8">
        <v>1.4747854339481592</v>
      </c>
      <c r="G32" s="8">
        <v>0.67783400000000005</v>
      </c>
      <c r="H32" s="8">
        <v>2.5</v>
      </c>
      <c r="I32" s="12" t="s">
        <v>94</v>
      </c>
    </row>
    <row r="33" spans="1:9" x14ac:dyDescent="0.35">
      <c r="A33" t="s">
        <v>89</v>
      </c>
      <c r="B33">
        <v>5</v>
      </c>
      <c r="C33" t="s">
        <v>93</v>
      </c>
      <c r="D33">
        <v>34695</v>
      </c>
      <c r="E33">
        <v>28737</v>
      </c>
      <c r="F33" s="8">
        <v>1.2073285311619166</v>
      </c>
      <c r="G33" s="8">
        <v>0.76190500000000005</v>
      </c>
      <c r="H33">
        <v>0.27</v>
      </c>
      <c r="I33" s="14" t="s">
        <v>95</v>
      </c>
    </row>
    <row r="34" spans="1:9" x14ac:dyDescent="0.35">
      <c r="A34" t="s">
        <v>90</v>
      </c>
      <c r="B34">
        <v>5</v>
      </c>
      <c r="C34" t="s">
        <v>97</v>
      </c>
      <c r="D34">
        <v>474041</v>
      </c>
      <c r="E34">
        <v>631366</v>
      </c>
      <c r="F34" s="8">
        <v>0.75081806749175595</v>
      </c>
      <c r="G34" s="8">
        <v>8.1766000000000005E-2</v>
      </c>
      <c r="H34">
        <v>3.62</v>
      </c>
      <c r="I34" s="14" t="s">
        <v>98</v>
      </c>
    </row>
    <row r="35" spans="1:9" x14ac:dyDescent="0.35">
      <c r="A35" t="s">
        <v>88</v>
      </c>
      <c r="B35">
        <v>10</v>
      </c>
      <c r="C35" t="s">
        <v>93</v>
      </c>
      <c r="D35">
        <v>512923</v>
      </c>
      <c r="E35">
        <v>347851</v>
      </c>
      <c r="F35" s="8">
        <v>1.4745480104987481</v>
      </c>
      <c r="G35" s="8">
        <v>0.67688000000000004</v>
      </c>
      <c r="H35">
        <v>2.29</v>
      </c>
      <c r="I35" s="12" t="s">
        <v>94</v>
      </c>
    </row>
    <row r="36" spans="1:9" x14ac:dyDescent="0.35">
      <c r="A36" t="s">
        <v>89</v>
      </c>
      <c r="B36">
        <v>10</v>
      </c>
      <c r="C36" t="s">
        <v>93</v>
      </c>
      <c r="D36">
        <v>34695</v>
      </c>
      <c r="E36">
        <v>27792</v>
      </c>
      <c r="F36" s="8">
        <v>1.248380829015544</v>
      </c>
      <c r="G36" s="8">
        <v>0.78</v>
      </c>
      <c r="H36">
        <v>0.28000000000000003</v>
      </c>
      <c r="I36" s="14" t="s">
        <v>95</v>
      </c>
    </row>
    <row r="37" spans="1:9" x14ac:dyDescent="0.35">
      <c r="A37" t="s">
        <v>90</v>
      </c>
      <c r="B37">
        <v>10</v>
      </c>
      <c r="C37" t="s">
        <v>97</v>
      </c>
      <c r="D37">
        <v>474041</v>
      </c>
      <c r="E37">
        <v>631644</v>
      </c>
      <c r="F37" s="8">
        <v>0.7504876164421731</v>
      </c>
      <c r="G37" s="8">
        <v>8.1848000000000004E-2</v>
      </c>
      <c r="H37">
        <v>2.52</v>
      </c>
      <c r="I37" s="14" t="s">
        <v>98</v>
      </c>
    </row>
    <row r="41" spans="1:9" x14ac:dyDescent="0.35">
      <c r="A41" t="s">
        <v>96</v>
      </c>
    </row>
    <row r="44" spans="1:9" x14ac:dyDescent="0.35">
      <c r="A44" s="1" t="s">
        <v>0</v>
      </c>
      <c r="B44" s="1" t="s">
        <v>91</v>
      </c>
      <c r="C44" s="1" t="s">
        <v>92</v>
      </c>
      <c r="D44" s="1" t="s">
        <v>5</v>
      </c>
      <c r="E44" s="1" t="s">
        <v>6</v>
      </c>
      <c r="F44" s="7" t="s">
        <v>7</v>
      </c>
      <c r="G44" s="7" t="s">
        <v>8</v>
      </c>
      <c r="H44" s="1" t="s">
        <v>12</v>
      </c>
      <c r="I44"/>
    </row>
    <row r="45" spans="1:9" x14ac:dyDescent="0.35">
      <c r="A4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4"/>
  <sheetViews>
    <sheetView topLeftCell="A187" workbookViewId="0">
      <selection activeCell="L199" sqref="L199"/>
    </sheetView>
  </sheetViews>
  <sheetFormatPr defaultRowHeight="14.5" x14ac:dyDescent="0.35"/>
  <cols>
    <col min="1" max="1" width="8.81640625" bestFit="1" customWidth="1"/>
    <col min="2" max="2" width="7.1796875" bestFit="1" customWidth="1"/>
    <col min="3" max="3" width="18.36328125" bestFit="1" customWidth="1"/>
    <col min="4" max="4" width="6.453125" bestFit="1" customWidth="1"/>
    <col min="5" max="5" width="8.08984375" bestFit="1" customWidth="1"/>
    <col min="6" max="6" width="10.90625" bestFit="1" customWidth="1"/>
    <col min="7" max="7" width="6.453125" bestFit="1" customWidth="1"/>
    <col min="8" max="8" width="6.90625" style="8" bestFit="1" customWidth="1"/>
    <col min="9" max="9" width="12.1796875" style="12" bestFit="1" customWidth="1"/>
    <col min="10" max="10" width="16.81640625" style="12" bestFit="1" customWidth="1"/>
    <col min="11" max="11" width="8.54296875" style="12" bestFit="1" customWidth="1"/>
    <col min="12" max="12" width="8.54296875" bestFit="1" customWidth="1"/>
    <col min="13" max="13" width="16.81640625" style="10" bestFit="1" customWidth="1"/>
    <col min="14" max="14" width="9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39</v>
      </c>
      <c r="E1" s="1" t="s">
        <v>56</v>
      </c>
      <c r="F1" s="1" t="s">
        <v>5</v>
      </c>
      <c r="G1" s="1" t="s">
        <v>6</v>
      </c>
      <c r="H1" s="7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" t="s">
        <v>12</v>
      </c>
    </row>
    <row r="2" spans="1:13" x14ac:dyDescent="0.35">
      <c r="A2" t="s">
        <v>13</v>
      </c>
      <c r="B2">
        <v>1</v>
      </c>
      <c r="C2" t="s">
        <v>14</v>
      </c>
      <c r="D2">
        <v>4</v>
      </c>
      <c r="E2">
        <v>0</v>
      </c>
      <c r="F2">
        <v>5058</v>
      </c>
      <c r="G2">
        <v>24733</v>
      </c>
      <c r="H2" s="8">
        <f t="array" ref="H2:H193">F2:F193 / G2:G193</f>
        <v>0.20450410382889259</v>
      </c>
      <c r="I2" s="12">
        <v>0.33245599999999997</v>
      </c>
      <c r="J2">
        <v>3054</v>
      </c>
      <c r="K2" s="12">
        <v>0.39685700000000002</v>
      </c>
      <c r="L2" s="12">
        <v>0.47362300000000002</v>
      </c>
      <c r="M2">
        <v>0.23</v>
      </c>
    </row>
    <row r="3" spans="1:13" x14ac:dyDescent="0.35">
      <c r="A3" t="s">
        <v>15</v>
      </c>
      <c r="B3">
        <v>1</v>
      </c>
      <c r="C3" t="s">
        <v>14</v>
      </c>
      <c r="D3">
        <v>4</v>
      </c>
      <c r="E3">
        <v>0</v>
      </c>
      <c r="F3">
        <v>4417</v>
      </c>
      <c r="G3">
        <v>18209</v>
      </c>
      <c r="H3" s="8">
        <v>0.24257235433027624</v>
      </c>
      <c r="I3" s="12">
        <v>0.103073</v>
      </c>
      <c r="J3">
        <v>4966</v>
      </c>
      <c r="K3" s="12">
        <v>0.67700400000000005</v>
      </c>
      <c r="L3" s="12">
        <v>0.91632599999999997</v>
      </c>
      <c r="M3">
        <v>0.26</v>
      </c>
    </row>
    <row r="4" spans="1:13" x14ac:dyDescent="0.35">
      <c r="A4" t="s">
        <v>16</v>
      </c>
      <c r="B4">
        <v>1</v>
      </c>
      <c r="C4" t="s">
        <v>14</v>
      </c>
      <c r="D4">
        <v>4</v>
      </c>
      <c r="E4">
        <v>0</v>
      </c>
      <c r="F4">
        <v>3696</v>
      </c>
      <c r="G4">
        <v>18482</v>
      </c>
      <c r="H4" s="8">
        <v>0.19997835732063629</v>
      </c>
      <c r="I4" s="12">
        <v>3.0428E-2</v>
      </c>
      <c r="J4">
        <v>5466</v>
      </c>
      <c r="K4" s="12">
        <v>0.50402499999999995</v>
      </c>
      <c r="L4" s="12">
        <v>0.964974</v>
      </c>
      <c r="M4">
        <v>0.19</v>
      </c>
    </row>
    <row r="5" spans="1:13" x14ac:dyDescent="0.35">
      <c r="A5" t="s">
        <v>17</v>
      </c>
      <c r="B5">
        <v>1</v>
      </c>
      <c r="C5" t="s">
        <v>14</v>
      </c>
      <c r="D5">
        <v>4</v>
      </c>
      <c r="E5">
        <v>0</v>
      </c>
      <c r="F5">
        <v>3455</v>
      </c>
      <c r="G5">
        <v>29471</v>
      </c>
      <c r="H5" s="8">
        <v>0.11723389094363951</v>
      </c>
      <c r="I5" s="12">
        <v>2.981E-2</v>
      </c>
      <c r="J5">
        <v>9202</v>
      </c>
      <c r="K5" s="12">
        <v>0.39904400000000001</v>
      </c>
      <c r="L5" s="12">
        <v>0.96860999999999997</v>
      </c>
      <c r="M5">
        <v>0.27</v>
      </c>
    </row>
    <row r="6" spans="1:13" x14ac:dyDescent="0.35">
      <c r="A6" t="s">
        <v>18</v>
      </c>
      <c r="B6">
        <v>1</v>
      </c>
      <c r="C6" t="s">
        <v>14</v>
      </c>
      <c r="D6">
        <v>4</v>
      </c>
      <c r="E6">
        <v>0</v>
      </c>
      <c r="F6">
        <v>4673</v>
      </c>
      <c r="G6">
        <v>18328</v>
      </c>
      <c r="H6" s="8">
        <v>0.25496508075076385</v>
      </c>
      <c r="I6" s="12">
        <v>4.9009999999999998E-2</v>
      </c>
      <c r="J6">
        <v>5605</v>
      </c>
      <c r="K6" s="12">
        <v>0.75147200000000003</v>
      </c>
      <c r="L6" s="12">
        <v>0.94736799999999999</v>
      </c>
      <c r="M6">
        <v>0.21</v>
      </c>
    </row>
    <row r="7" spans="1:13" x14ac:dyDescent="0.35">
      <c r="A7" t="s">
        <v>19</v>
      </c>
      <c r="B7">
        <v>1</v>
      </c>
      <c r="C7" t="s">
        <v>14</v>
      </c>
      <c r="D7">
        <v>4</v>
      </c>
      <c r="E7">
        <v>0</v>
      </c>
      <c r="F7">
        <v>4414</v>
      </c>
      <c r="G7">
        <v>16383</v>
      </c>
      <c r="H7" s="8">
        <v>0.2694256241225661</v>
      </c>
      <c r="I7" s="12">
        <v>3.2292000000000001E-2</v>
      </c>
      <c r="J7">
        <v>5479</v>
      </c>
      <c r="K7" s="12">
        <v>0.50282899999999997</v>
      </c>
      <c r="L7" s="12">
        <v>0.964974</v>
      </c>
      <c r="M7">
        <v>0.19</v>
      </c>
    </row>
    <row r="8" spans="1:13" x14ac:dyDescent="0.35">
      <c r="A8" t="s">
        <v>20</v>
      </c>
      <c r="B8">
        <v>1</v>
      </c>
      <c r="C8" t="s">
        <v>14</v>
      </c>
      <c r="D8">
        <v>4</v>
      </c>
      <c r="E8">
        <v>0</v>
      </c>
      <c r="F8">
        <v>6277</v>
      </c>
      <c r="G8">
        <v>14827</v>
      </c>
      <c r="H8" s="8">
        <v>0.42334929520469416</v>
      </c>
      <c r="I8" s="12">
        <v>3.9579999999999997E-3</v>
      </c>
      <c r="J8">
        <v>20</v>
      </c>
      <c r="K8" s="12">
        <v>0.55000000000000004</v>
      </c>
      <c r="L8" s="12">
        <v>0.44</v>
      </c>
      <c r="M8">
        <v>0.16</v>
      </c>
    </row>
    <row r="9" spans="1:13" x14ac:dyDescent="0.35">
      <c r="A9" t="s">
        <v>21</v>
      </c>
      <c r="B9">
        <v>1</v>
      </c>
      <c r="C9" t="s">
        <v>14</v>
      </c>
      <c r="D9">
        <v>4</v>
      </c>
      <c r="E9">
        <v>0</v>
      </c>
      <c r="F9">
        <v>5379</v>
      </c>
      <c r="G9">
        <v>17159</v>
      </c>
      <c r="H9" s="8">
        <v>0.3134798065155312</v>
      </c>
      <c r="I9" s="12">
        <v>1.6830999999999999E-2</v>
      </c>
      <c r="J9">
        <v>3845</v>
      </c>
      <c r="K9" s="12">
        <v>0.83355000000000001</v>
      </c>
      <c r="L9" s="12">
        <v>0.95386899999999997</v>
      </c>
      <c r="M9">
        <v>0.21</v>
      </c>
    </row>
    <row r="10" spans="1:13" x14ac:dyDescent="0.35">
      <c r="A10" t="s">
        <v>13</v>
      </c>
      <c r="B10">
        <v>1</v>
      </c>
      <c r="C10" t="s">
        <v>14</v>
      </c>
      <c r="D10">
        <v>16</v>
      </c>
      <c r="E10">
        <v>0</v>
      </c>
      <c r="F10">
        <v>5058</v>
      </c>
      <c r="G10">
        <v>21105</v>
      </c>
      <c r="H10" s="8">
        <v>0.23965884861407249</v>
      </c>
      <c r="I10" s="12">
        <v>7.3957999999999996E-2</v>
      </c>
      <c r="J10">
        <v>12112</v>
      </c>
      <c r="K10" s="12">
        <v>0.193775</v>
      </c>
      <c r="L10" s="12">
        <v>0.84974700000000003</v>
      </c>
      <c r="M10">
        <v>0.21</v>
      </c>
    </row>
    <row r="11" spans="1:13" x14ac:dyDescent="0.35">
      <c r="A11" t="s">
        <v>15</v>
      </c>
      <c r="B11">
        <v>1</v>
      </c>
      <c r="C11" t="s">
        <v>14</v>
      </c>
      <c r="D11">
        <v>16</v>
      </c>
      <c r="E11">
        <v>0</v>
      </c>
      <c r="F11">
        <v>4417</v>
      </c>
      <c r="G11">
        <v>20084</v>
      </c>
      <c r="H11" s="8">
        <v>0.21992630950009959</v>
      </c>
      <c r="I11" s="12">
        <v>0.102656</v>
      </c>
      <c r="J11">
        <v>13050</v>
      </c>
      <c r="K11" s="12">
        <v>0.27141799999999999</v>
      </c>
      <c r="L11" s="12">
        <v>0.74240200000000001</v>
      </c>
      <c r="M11">
        <v>0.22</v>
      </c>
    </row>
    <row r="12" spans="1:13" x14ac:dyDescent="0.35">
      <c r="A12" t="s">
        <v>16</v>
      </c>
      <c r="B12">
        <v>1</v>
      </c>
      <c r="C12" t="s">
        <v>14</v>
      </c>
      <c r="D12">
        <v>16</v>
      </c>
      <c r="E12">
        <v>0</v>
      </c>
      <c r="F12">
        <v>3696</v>
      </c>
      <c r="G12">
        <v>18755</v>
      </c>
      <c r="H12" s="8">
        <v>0.19706744868035192</v>
      </c>
      <c r="I12" s="12">
        <v>3.7226000000000002E-2</v>
      </c>
      <c r="J12">
        <v>18035</v>
      </c>
      <c r="K12" s="12">
        <v>0.15187100000000001</v>
      </c>
      <c r="L12" s="12">
        <v>0.95635499999999996</v>
      </c>
      <c r="M12">
        <v>0.21</v>
      </c>
    </row>
    <row r="13" spans="1:13" x14ac:dyDescent="0.35">
      <c r="A13" t="s">
        <v>17</v>
      </c>
      <c r="B13">
        <v>1</v>
      </c>
      <c r="C13" t="s">
        <v>14</v>
      </c>
      <c r="D13">
        <v>16</v>
      </c>
      <c r="E13">
        <v>0</v>
      </c>
      <c r="F13">
        <v>3455</v>
      </c>
      <c r="G13">
        <v>30042</v>
      </c>
      <c r="H13" s="8">
        <v>0.11500565874442448</v>
      </c>
      <c r="I13" s="12">
        <v>3.9951E-2</v>
      </c>
      <c r="J13">
        <v>31408</v>
      </c>
      <c r="K13" s="12">
        <v>0.115671</v>
      </c>
      <c r="L13" s="12">
        <v>0.95379400000000003</v>
      </c>
      <c r="M13">
        <v>0.28999999999999998</v>
      </c>
    </row>
    <row r="14" spans="1:13" x14ac:dyDescent="0.35">
      <c r="A14" t="s">
        <v>18</v>
      </c>
      <c r="B14">
        <v>1</v>
      </c>
      <c r="C14" t="s">
        <v>14</v>
      </c>
      <c r="D14">
        <v>16</v>
      </c>
      <c r="E14">
        <v>0</v>
      </c>
      <c r="F14">
        <v>4673</v>
      </c>
      <c r="G14">
        <v>20052</v>
      </c>
      <c r="H14" s="8">
        <v>0.23304408537801716</v>
      </c>
      <c r="I14" s="12">
        <v>9.2656000000000002E-2</v>
      </c>
      <c r="J14">
        <v>15089</v>
      </c>
      <c r="K14" s="12">
        <v>0.26900400000000002</v>
      </c>
      <c r="L14" s="12">
        <v>0.85741400000000001</v>
      </c>
      <c r="M14">
        <v>0.23</v>
      </c>
    </row>
    <row r="15" spans="1:13" x14ac:dyDescent="0.35">
      <c r="A15" t="s">
        <v>19</v>
      </c>
      <c r="B15">
        <v>1</v>
      </c>
      <c r="C15" t="s">
        <v>14</v>
      </c>
      <c r="D15">
        <v>16</v>
      </c>
      <c r="E15">
        <v>0</v>
      </c>
      <c r="F15">
        <v>4414</v>
      </c>
      <c r="G15">
        <v>16667</v>
      </c>
      <c r="H15" s="8">
        <v>0.26483470330593389</v>
      </c>
      <c r="I15" s="12">
        <v>3.9294000000000003E-2</v>
      </c>
      <c r="J15">
        <v>17659</v>
      </c>
      <c r="K15" s="12">
        <v>0.15510499999999999</v>
      </c>
      <c r="L15" s="12">
        <v>0.95635499999999996</v>
      </c>
      <c r="M15">
        <v>0.2</v>
      </c>
    </row>
    <row r="16" spans="1:13" x14ac:dyDescent="0.35">
      <c r="A16" t="s">
        <v>20</v>
      </c>
      <c r="B16">
        <v>1</v>
      </c>
      <c r="C16" t="s">
        <v>14</v>
      </c>
      <c r="D16">
        <v>16</v>
      </c>
      <c r="E16">
        <v>0</v>
      </c>
      <c r="F16">
        <v>6277</v>
      </c>
      <c r="G16">
        <v>14877</v>
      </c>
      <c r="H16" s="8">
        <v>0.42192646366875042</v>
      </c>
      <c r="I16" s="12">
        <v>6.8060000000000004E-3</v>
      </c>
      <c r="J16">
        <v>64</v>
      </c>
      <c r="K16" s="12">
        <v>0.109375</v>
      </c>
      <c r="L16" s="12">
        <v>0.28000000000000003</v>
      </c>
      <c r="M16">
        <v>0.16</v>
      </c>
    </row>
    <row r="17" spans="1:13" x14ac:dyDescent="0.35">
      <c r="A17" t="s">
        <v>21</v>
      </c>
      <c r="B17">
        <v>1</v>
      </c>
      <c r="C17" t="s">
        <v>14</v>
      </c>
      <c r="D17">
        <v>16</v>
      </c>
      <c r="E17">
        <v>0</v>
      </c>
      <c r="F17">
        <v>5379</v>
      </c>
      <c r="G17">
        <v>17438</v>
      </c>
      <c r="H17" s="8">
        <v>0.30846427342585159</v>
      </c>
      <c r="I17" s="12">
        <v>2.8454E-2</v>
      </c>
      <c r="J17">
        <v>11299</v>
      </c>
      <c r="K17" s="12">
        <v>0.26489099999999999</v>
      </c>
      <c r="L17" s="12">
        <v>0.91866199999999998</v>
      </c>
      <c r="M17">
        <v>0.21</v>
      </c>
    </row>
    <row r="18" spans="1:13" x14ac:dyDescent="0.35">
      <c r="A18" t="s">
        <v>13</v>
      </c>
      <c r="B18">
        <v>1</v>
      </c>
      <c r="C18" t="s">
        <v>14</v>
      </c>
      <c r="D18">
        <v>32</v>
      </c>
      <c r="E18">
        <v>0</v>
      </c>
      <c r="F18">
        <v>5058</v>
      </c>
      <c r="G18">
        <v>20618</v>
      </c>
      <c r="H18" s="8">
        <v>0.245319623629838</v>
      </c>
      <c r="I18" s="12">
        <v>7.0998000000000006E-2</v>
      </c>
      <c r="J18">
        <v>16822</v>
      </c>
      <c r="K18" s="12">
        <v>0.13601199999999999</v>
      </c>
      <c r="L18" s="12">
        <v>0.82569499999999996</v>
      </c>
      <c r="M18">
        <v>0.22</v>
      </c>
    </row>
    <row r="19" spans="1:13" x14ac:dyDescent="0.35">
      <c r="A19" t="s">
        <v>15</v>
      </c>
      <c r="B19">
        <v>1</v>
      </c>
      <c r="C19" t="s">
        <v>14</v>
      </c>
      <c r="D19">
        <v>32</v>
      </c>
      <c r="E19">
        <v>0</v>
      </c>
      <c r="F19">
        <v>4417</v>
      </c>
      <c r="G19">
        <v>21834</v>
      </c>
      <c r="H19" s="8">
        <v>0.20229916643766602</v>
      </c>
      <c r="I19" s="12">
        <v>0.125365</v>
      </c>
      <c r="J19">
        <v>16444</v>
      </c>
      <c r="K19" s="12">
        <v>0.17264699999999999</v>
      </c>
      <c r="L19" s="12">
        <v>0.59455499999999994</v>
      </c>
      <c r="M19">
        <v>0.24</v>
      </c>
    </row>
    <row r="20" spans="1:13" x14ac:dyDescent="0.35">
      <c r="A20" t="s">
        <v>16</v>
      </c>
      <c r="B20">
        <v>1</v>
      </c>
      <c r="C20" t="s">
        <v>14</v>
      </c>
      <c r="D20">
        <v>32</v>
      </c>
      <c r="E20">
        <v>0</v>
      </c>
      <c r="F20">
        <v>3696</v>
      </c>
      <c r="G20">
        <v>18775</v>
      </c>
      <c r="H20" s="8">
        <v>0.19685752330226364</v>
      </c>
      <c r="I20" s="12">
        <v>3.6787E-2</v>
      </c>
      <c r="J20">
        <v>22474</v>
      </c>
      <c r="K20" s="12">
        <v>0.12205199999999999</v>
      </c>
      <c r="L20" s="12">
        <v>0.95475100000000002</v>
      </c>
      <c r="M20">
        <v>0.22</v>
      </c>
    </row>
    <row r="21" spans="1:13" x14ac:dyDescent="0.35">
      <c r="A21" t="s">
        <v>17</v>
      </c>
      <c r="B21">
        <v>1</v>
      </c>
      <c r="C21" t="s">
        <v>14</v>
      </c>
      <c r="D21">
        <v>32</v>
      </c>
      <c r="E21">
        <v>0</v>
      </c>
      <c r="F21">
        <v>3455</v>
      </c>
      <c r="G21">
        <v>29812</v>
      </c>
      <c r="H21" s="8">
        <v>0.11589292902187039</v>
      </c>
      <c r="I21" s="12">
        <v>3.4680999999999997E-2</v>
      </c>
      <c r="J21">
        <v>41760</v>
      </c>
      <c r="K21" s="12">
        <v>8.6876999999999996E-2</v>
      </c>
      <c r="L21" s="12">
        <v>0.94775299999999996</v>
      </c>
      <c r="M21">
        <v>0.32</v>
      </c>
    </row>
    <row r="22" spans="1:13" x14ac:dyDescent="0.35">
      <c r="A22" t="s">
        <v>18</v>
      </c>
      <c r="B22">
        <v>1</v>
      </c>
      <c r="C22" t="s">
        <v>14</v>
      </c>
      <c r="D22">
        <v>32</v>
      </c>
      <c r="E22">
        <v>0</v>
      </c>
      <c r="F22">
        <v>4673</v>
      </c>
      <c r="G22">
        <v>22020</v>
      </c>
      <c r="H22" s="8">
        <v>0.21221616712079927</v>
      </c>
      <c r="I22" s="12">
        <v>0.12302100000000001</v>
      </c>
      <c r="J22">
        <v>23670</v>
      </c>
      <c r="K22" s="12">
        <v>0.133798</v>
      </c>
      <c r="L22" s="12">
        <v>0.66241399999999995</v>
      </c>
      <c r="M22">
        <v>0.25</v>
      </c>
    </row>
    <row r="23" spans="1:13" x14ac:dyDescent="0.35">
      <c r="A23" t="s">
        <v>19</v>
      </c>
      <c r="B23">
        <v>1</v>
      </c>
      <c r="C23" t="s">
        <v>14</v>
      </c>
      <c r="D23">
        <v>32</v>
      </c>
      <c r="E23">
        <v>0</v>
      </c>
      <c r="F23">
        <v>4414</v>
      </c>
      <c r="G23">
        <v>18681</v>
      </c>
      <c r="H23" s="8">
        <v>0.23628285423692522</v>
      </c>
      <c r="I23" s="12">
        <v>6.1806E-2</v>
      </c>
      <c r="J23">
        <v>24924</v>
      </c>
      <c r="K23" s="12">
        <v>9.0915999999999997E-2</v>
      </c>
      <c r="L23" s="12">
        <v>0.79009799999999997</v>
      </c>
      <c r="M23">
        <v>0.21</v>
      </c>
    </row>
    <row r="24" spans="1:13" x14ac:dyDescent="0.35">
      <c r="A24" t="s">
        <v>20</v>
      </c>
      <c r="B24">
        <v>1</v>
      </c>
      <c r="C24" t="s">
        <v>14</v>
      </c>
      <c r="D24">
        <v>32</v>
      </c>
      <c r="E24">
        <v>0</v>
      </c>
      <c r="F24">
        <v>6277</v>
      </c>
      <c r="G24">
        <v>14879</v>
      </c>
      <c r="H24" s="8">
        <v>0.4218697493111096</v>
      </c>
      <c r="I24" s="12">
        <v>7.0140000000000003E-3</v>
      </c>
      <c r="J24">
        <v>64</v>
      </c>
      <c r="K24" s="12">
        <v>6.25E-2</v>
      </c>
      <c r="L24" s="12">
        <v>0.16</v>
      </c>
      <c r="M24">
        <v>0.16</v>
      </c>
    </row>
    <row r="25" spans="1:13" x14ac:dyDescent="0.35">
      <c r="A25" t="s">
        <v>21</v>
      </c>
      <c r="B25">
        <v>1</v>
      </c>
      <c r="C25" t="s">
        <v>14</v>
      </c>
      <c r="D25">
        <v>32</v>
      </c>
      <c r="E25">
        <v>0</v>
      </c>
      <c r="F25">
        <v>5379</v>
      </c>
      <c r="G25">
        <v>18362</v>
      </c>
      <c r="H25" s="8">
        <v>0.29294194532186035</v>
      </c>
      <c r="I25" s="12">
        <v>7.0778999999999995E-2</v>
      </c>
      <c r="J25">
        <v>12252</v>
      </c>
      <c r="K25" s="12">
        <v>0.18127699999999999</v>
      </c>
      <c r="L25" s="12">
        <v>0.66101200000000004</v>
      </c>
      <c r="M25">
        <v>0.23</v>
      </c>
    </row>
    <row r="26" spans="1:13" x14ac:dyDescent="0.35">
      <c r="A26" t="s">
        <v>13</v>
      </c>
      <c r="B26">
        <v>1</v>
      </c>
      <c r="C26" t="s">
        <v>14</v>
      </c>
      <c r="D26">
        <v>64</v>
      </c>
      <c r="E26">
        <v>0</v>
      </c>
      <c r="F26">
        <v>5058</v>
      </c>
      <c r="G26">
        <v>26498</v>
      </c>
      <c r="H26" s="8">
        <v>0.1908823307419428</v>
      </c>
      <c r="I26" s="12">
        <v>0.326096</v>
      </c>
      <c r="J26">
        <v>13648</v>
      </c>
      <c r="K26" s="12">
        <v>0.10507</v>
      </c>
      <c r="L26" s="12">
        <v>0.49808999999999998</v>
      </c>
      <c r="M26">
        <v>0.23</v>
      </c>
    </row>
    <row r="27" spans="1:13" x14ac:dyDescent="0.35">
      <c r="A27" t="s">
        <v>15</v>
      </c>
      <c r="B27">
        <v>1</v>
      </c>
      <c r="C27" t="s">
        <v>14</v>
      </c>
      <c r="D27">
        <v>64</v>
      </c>
      <c r="E27">
        <v>0</v>
      </c>
      <c r="F27">
        <v>4417</v>
      </c>
      <c r="G27">
        <v>26831</v>
      </c>
      <c r="H27" s="8">
        <v>0.16462301069658231</v>
      </c>
      <c r="I27" s="12">
        <v>0.39802100000000001</v>
      </c>
      <c r="J27">
        <v>22784</v>
      </c>
      <c r="K27" s="12">
        <v>7.5799000000000005E-2</v>
      </c>
      <c r="L27" s="12">
        <v>0.359792</v>
      </c>
      <c r="M27">
        <v>0.26</v>
      </c>
    </row>
    <row r="28" spans="1:13" x14ac:dyDescent="0.35">
      <c r="A28" t="s">
        <v>16</v>
      </c>
      <c r="B28">
        <v>1</v>
      </c>
      <c r="C28" t="s">
        <v>14</v>
      </c>
      <c r="D28">
        <v>64</v>
      </c>
      <c r="E28">
        <v>0</v>
      </c>
      <c r="F28">
        <v>3696</v>
      </c>
      <c r="G28">
        <v>24130</v>
      </c>
      <c r="H28" s="8">
        <v>0.15317032739328637</v>
      </c>
      <c r="I28" s="12">
        <v>0.32527400000000001</v>
      </c>
      <c r="J28">
        <v>29446</v>
      </c>
      <c r="K28" s="12">
        <v>4.8461999999999998E-2</v>
      </c>
      <c r="L28" s="12">
        <v>0.49565799999999999</v>
      </c>
      <c r="M28">
        <v>0.24</v>
      </c>
    </row>
    <row r="29" spans="1:13" x14ac:dyDescent="0.35">
      <c r="A29" t="s">
        <v>17</v>
      </c>
      <c r="B29">
        <v>1</v>
      </c>
      <c r="C29" t="s">
        <v>14</v>
      </c>
      <c r="D29">
        <v>64</v>
      </c>
      <c r="E29">
        <v>0</v>
      </c>
      <c r="F29">
        <v>3455</v>
      </c>
      <c r="G29">
        <v>38460</v>
      </c>
      <c r="H29" s="8">
        <v>8.9833593343733753E-2</v>
      </c>
      <c r="I29" s="12">
        <v>0.32855400000000001</v>
      </c>
      <c r="J29">
        <v>49187</v>
      </c>
      <c r="K29" s="12">
        <v>3.8525999999999998E-2</v>
      </c>
      <c r="L29" s="12">
        <v>0.49348999999999998</v>
      </c>
      <c r="M29">
        <v>0.33</v>
      </c>
    </row>
    <row r="30" spans="1:13" x14ac:dyDescent="0.35">
      <c r="A30" t="s">
        <v>18</v>
      </c>
      <c r="B30">
        <v>1</v>
      </c>
      <c r="C30" t="s">
        <v>14</v>
      </c>
      <c r="D30">
        <v>64</v>
      </c>
      <c r="E30">
        <v>0</v>
      </c>
      <c r="F30">
        <v>4673</v>
      </c>
      <c r="G30">
        <v>24731</v>
      </c>
      <c r="H30" s="8">
        <v>0.18895313574056852</v>
      </c>
      <c r="I30" s="12">
        <v>0.34947899999999998</v>
      </c>
      <c r="J30">
        <v>23947</v>
      </c>
      <c r="K30" s="12">
        <v>9.5586000000000004E-2</v>
      </c>
      <c r="L30" s="12">
        <v>0.477074</v>
      </c>
      <c r="M30">
        <v>0.27</v>
      </c>
    </row>
    <row r="31" spans="1:13" x14ac:dyDescent="0.35">
      <c r="A31" t="s">
        <v>19</v>
      </c>
      <c r="B31">
        <v>1</v>
      </c>
      <c r="C31" t="s">
        <v>14</v>
      </c>
      <c r="D31">
        <v>64</v>
      </c>
      <c r="E31">
        <v>0</v>
      </c>
      <c r="F31">
        <v>4414</v>
      </c>
      <c r="G31">
        <v>21900</v>
      </c>
      <c r="H31" s="8">
        <v>0.2015525114155251</v>
      </c>
      <c r="I31" s="12">
        <v>0.34183999999999998</v>
      </c>
      <c r="J31">
        <v>29400</v>
      </c>
      <c r="K31" s="12">
        <v>4.7007E-2</v>
      </c>
      <c r="L31" s="12">
        <v>0.48019499999999998</v>
      </c>
      <c r="M31">
        <v>0.23</v>
      </c>
    </row>
    <row r="32" spans="1:13" x14ac:dyDescent="0.35">
      <c r="A32" t="s">
        <v>20</v>
      </c>
      <c r="B32">
        <v>1</v>
      </c>
      <c r="C32" t="s">
        <v>14</v>
      </c>
      <c r="D32">
        <v>64</v>
      </c>
      <c r="E32">
        <v>0</v>
      </c>
      <c r="F32">
        <v>6277</v>
      </c>
      <c r="G32">
        <v>14896</v>
      </c>
      <c r="H32" s="8">
        <v>0.42138829215896884</v>
      </c>
      <c r="I32" s="12">
        <v>7.2919999999999999E-3</v>
      </c>
      <c r="J32">
        <v>64</v>
      </c>
      <c r="K32" s="12">
        <v>0</v>
      </c>
      <c r="L32" s="12">
        <v>0</v>
      </c>
      <c r="M32">
        <v>0.16</v>
      </c>
    </row>
    <row r="33" spans="1:13" x14ac:dyDescent="0.35">
      <c r="A33" t="s">
        <v>21</v>
      </c>
      <c r="B33">
        <v>1</v>
      </c>
      <c r="C33" t="s">
        <v>14</v>
      </c>
      <c r="D33">
        <v>64</v>
      </c>
      <c r="E33">
        <v>0</v>
      </c>
      <c r="F33">
        <v>5379</v>
      </c>
      <c r="G33">
        <v>22443</v>
      </c>
      <c r="H33" s="8">
        <v>0.23967384039566902</v>
      </c>
      <c r="I33" s="12">
        <v>0.267654</v>
      </c>
      <c r="J33">
        <v>15401</v>
      </c>
      <c r="K33" s="12">
        <v>9.6227999999999994E-2</v>
      </c>
      <c r="L33" s="12">
        <v>0.44107099999999999</v>
      </c>
      <c r="M33">
        <v>0.24</v>
      </c>
    </row>
    <row r="34" spans="1:13" x14ac:dyDescent="0.35">
      <c r="A34" t="s">
        <v>13</v>
      </c>
      <c r="B34">
        <v>1</v>
      </c>
      <c r="C34" t="s">
        <v>14</v>
      </c>
      <c r="D34">
        <v>4</v>
      </c>
      <c r="E34">
        <v>4</v>
      </c>
      <c r="F34">
        <v>5058</v>
      </c>
      <c r="G34">
        <v>25837</v>
      </c>
      <c r="H34" s="8">
        <v>0.19576576227890236</v>
      </c>
      <c r="I34" s="12">
        <v>0.49226999999999999</v>
      </c>
      <c r="J34">
        <v>3389</v>
      </c>
      <c r="K34" s="12">
        <v>0.388905</v>
      </c>
      <c r="L34" s="12">
        <v>0.48634699999999997</v>
      </c>
      <c r="M34">
        <v>0.21</v>
      </c>
    </row>
    <row r="35" spans="1:13" x14ac:dyDescent="0.35">
      <c r="A35" t="s">
        <v>15</v>
      </c>
      <c r="B35">
        <v>1</v>
      </c>
      <c r="C35" t="s">
        <v>14</v>
      </c>
      <c r="D35">
        <v>4</v>
      </c>
      <c r="E35">
        <v>4</v>
      </c>
      <c r="F35">
        <v>4417</v>
      </c>
      <c r="G35">
        <v>18623</v>
      </c>
      <c r="H35" s="8">
        <v>0.23717983139129034</v>
      </c>
      <c r="I35" s="12">
        <v>8.2135E-2</v>
      </c>
      <c r="J35">
        <v>7235</v>
      </c>
      <c r="K35" s="12">
        <v>0.580511</v>
      </c>
      <c r="L35" s="12">
        <v>0.87573000000000001</v>
      </c>
      <c r="M35">
        <v>0.21</v>
      </c>
    </row>
    <row r="36" spans="1:13" x14ac:dyDescent="0.35">
      <c r="A36" t="s">
        <v>16</v>
      </c>
      <c r="B36">
        <v>1</v>
      </c>
      <c r="C36" t="s">
        <v>14</v>
      </c>
      <c r="D36">
        <v>4</v>
      </c>
      <c r="E36">
        <v>4</v>
      </c>
      <c r="F36">
        <v>3696</v>
      </c>
      <c r="G36">
        <v>19202</v>
      </c>
      <c r="H36" s="8">
        <v>0.19247995000520779</v>
      </c>
      <c r="I36" s="12">
        <v>6.0636000000000002E-2</v>
      </c>
      <c r="J36">
        <v>6399</v>
      </c>
      <c r="K36" s="12">
        <v>0.412408</v>
      </c>
      <c r="L36" s="12">
        <v>0.91631899999999999</v>
      </c>
      <c r="M36">
        <v>0.23</v>
      </c>
    </row>
    <row r="37" spans="1:13" x14ac:dyDescent="0.35">
      <c r="A37" t="s">
        <v>17</v>
      </c>
      <c r="B37">
        <v>1</v>
      </c>
      <c r="C37" t="s">
        <v>14</v>
      </c>
      <c r="D37">
        <v>4</v>
      </c>
      <c r="E37">
        <v>4</v>
      </c>
      <c r="F37">
        <v>3455</v>
      </c>
      <c r="G37">
        <v>30646</v>
      </c>
      <c r="H37" s="8">
        <v>0.11273901977419565</v>
      </c>
      <c r="I37" s="12">
        <v>6.1886999999999998E-2</v>
      </c>
      <c r="J37">
        <v>10019</v>
      </c>
      <c r="K37" s="12">
        <v>0.35113299999999997</v>
      </c>
      <c r="L37" s="12">
        <v>0.91614600000000002</v>
      </c>
      <c r="M37">
        <v>0.31</v>
      </c>
    </row>
    <row r="38" spans="1:13" x14ac:dyDescent="0.35">
      <c r="A38" t="s">
        <v>18</v>
      </c>
      <c r="B38">
        <v>1</v>
      </c>
      <c r="C38" t="s">
        <v>14</v>
      </c>
      <c r="D38">
        <v>4</v>
      </c>
      <c r="E38">
        <v>4</v>
      </c>
      <c r="F38">
        <v>4673</v>
      </c>
      <c r="G38">
        <v>19195</v>
      </c>
      <c r="H38" s="8">
        <v>0.24344881479551966</v>
      </c>
      <c r="I38" s="12">
        <v>7.0624999999999993E-2</v>
      </c>
      <c r="J38">
        <v>8445</v>
      </c>
      <c r="K38" s="12">
        <v>0.51758400000000004</v>
      </c>
      <c r="L38" s="12">
        <v>0.91214499999999998</v>
      </c>
      <c r="M38">
        <v>0.28999999999999998</v>
      </c>
    </row>
    <row r="39" spans="1:13" x14ac:dyDescent="0.35">
      <c r="A39" t="s">
        <v>19</v>
      </c>
      <c r="B39">
        <v>1</v>
      </c>
      <c r="C39" t="s">
        <v>14</v>
      </c>
      <c r="D39">
        <v>4</v>
      </c>
      <c r="E39">
        <v>4</v>
      </c>
      <c r="F39">
        <v>4414</v>
      </c>
      <c r="G39">
        <v>17073</v>
      </c>
      <c r="H39" s="8">
        <v>0.25853687108299656</v>
      </c>
      <c r="I39" s="12">
        <v>6.2441999999999998E-2</v>
      </c>
      <c r="J39">
        <v>6418</v>
      </c>
      <c r="K39" s="12">
        <v>0.41134300000000001</v>
      </c>
      <c r="L39" s="12">
        <v>0.91666700000000001</v>
      </c>
      <c r="M39">
        <v>0.22</v>
      </c>
    </row>
    <row r="40" spans="1:13" x14ac:dyDescent="0.35">
      <c r="A40" t="s">
        <v>20</v>
      </c>
      <c r="B40">
        <v>1</v>
      </c>
      <c r="C40" t="s">
        <v>14</v>
      </c>
      <c r="D40">
        <v>4</v>
      </c>
      <c r="E40">
        <v>4</v>
      </c>
      <c r="F40">
        <v>6277</v>
      </c>
      <c r="G40">
        <v>14868</v>
      </c>
      <c r="H40" s="8">
        <v>0.42218186709712135</v>
      </c>
      <c r="I40" s="12">
        <v>6.5279999999999999E-3</v>
      </c>
      <c r="J40">
        <v>45</v>
      </c>
      <c r="K40" s="12">
        <v>4.4443999999999997E-2</v>
      </c>
      <c r="L40" s="12">
        <v>0.08</v>
      </c>
      <c r="M40">
        <v>0.24</v>
      </c>
    </row>
    <row r="41" spans="1:13" x14ac:dyDescent="0.35">
      <c r="A41" t="s">
        <v>21</v>
      </c>
      <c r="B41">
        <v>1</v>
      </c>
      <c r="C41" t="s">
        <v>14</v>
      </c>
      <c r="D41">
        <v>4</v>
      </c>
      <c r="E41">
        <v>4</v>
      </c>
      <c r="F41">
        <v>5379</v>
      </c>
      <c r="G41">
        <v>17821</v>
      </c>
      <c r="H41" s="8">
        <v>0.30183491386566408</v>
      </c>
      <c r="I41" s="12">
        <v>4.5942999999999998E-2</v>
      </c>
      <c r="J41">
        <v>5776</v>
      </c>
      <c r="K41" s="12">
        <v>0.53220199999999995</v>
      </c>
      <c r="L41" s="12">
        <v>0.91488100000000006</v>
      </c>
      <c r="M41">
        <v>0.43</v>
      </c>
    </row>
    <row r="42" spans="1:13" x14ac:dyDescent="0.35">
      <c r="A42" t="s">
        <v>13</v>
      </c>
      <c r="B42">
        <v>1</v>
      </c>
      <c r="C42" t="s">
        <v>14</v>
      </c>
      <c r="D42">
        <v>4</v>
      </c>
      <c r="E42">
        <v>8</v>
      </c>
      <c r="F42">
        <v>5058</v>
      </c>
      <c r="G42">
        <v>23320</v>
      </c>
      <c r="H42" s="8">
        <v>0.21689536878216123</v>
      </c>
      <c r="I42" s="12">
        <v>0.194518</v>
      </c>
      <c r="J42">
        <v>4142</v>
      </c>
      <c r="K42" s="12">
        <v>0.47416700000000001</v>
      </c>
      <c r="L42" s="12">
        <v>0.73092699999999999</v>
      </c>
      <c r="M42">
        <v>0.21</v>
      </c>
    </row>
    <row r="43" spans="1:13" x14ac:dyDescent="0.35">
      <c r="A43" t="s">
        <v>15</v>
      </c>
      <c r="B43">
        <v>1</v>
      </c>
      <c r="C43" t="s">
        <v>14</v>
      </c>
      <c r="D43">
        <v>4</v>
      </c>
      <c r="E43">
        <v>8</v>
      </c>
      <c r="F43">
        <v>4417</v>
      </c>
      <c r="G43">
        <v>19386</v>
      </c>
      <c r="H43" s="8">
        <v>0.22784483647993398</v>
      </c>
      <c r="I43" s="12">
        <v>0.122031</v>
      </c>
      <c r="J43">
        <v>7157</v>
      </c>
      <c r="K43" s="12">
        <v>0.55847400000000003</v>
      </c>
      <c r="L43" s="12">
        <v>0.832708</v>
      </c>
      <c r="M43">
        <v>0.21</v>
      </c>
    </row>
    <row r="44" spans="1:13" x14ac:dyDescent="0.35">
      <c r="A44" t="s">
        <v>16</v>
      </c>
      <c r="B44">
        <v>1</v>
      </c>
      <c r="C44" t="s">
        <v>14</v>
      </c>
      <c r="D44">
        <v>4</v>
      </c>
      <c r="E44">
        <v>8</v>
      </c>
      <c r="F44">
        <v>3696</v>
      </c>
      <c r="G44">
        <v>19885</v>
      </c>
      <c r="H44" s="8">
        <v>0.18586874528539099</v>
      </c>
      <c r="I44" s="12">
        <v>0.101316</v>
      </c>
      <c r="J44">
        <v>5941</v>
      </c>
      <c r="K44" s="12">
        <v>0.41322999999999999</v>
      </c>
      <c r="L44" s="12">
        <v>0.85243100000000005</v>
      </c>
      <c r="M44">
        <v>0.21</v>
      </c>
    </row>
    <row r="45" spans="1:13" x14ac:dyDescent="0.35">
      <c r="A45" t="s">
        <v>17</v>
      </c>
      <c r="B45">
        <v>1</v>
      </c>
      <c r="C45" t="s">
        <v>14</v>
      </c>
      <c r="D45">
        <v>4</v>
      </c>
      <c r="E45">
        <v>8</v>
      </c>
      <c r="F45">
        <v>3455</v>
      </c>
      <c r="G45">
        <v>31670</v>
      </c>
      <c r="H45" s="8">
        <v>0.10909377960214714</v>
      </c>
      <c r="I45" s="12">
        <v>0.10383000000000001</v>
      </c>
      <c r="J45">
        <v>9354</v>
      </c>
      <c r="K45" s="12">
        <v>0.34958299999999998</v>
      </c>
      <c r="L45" s="12">
        <v>0.85156200000000004</v>
      </c>
      <c r="M45">
        <v>0.3</v>
      </c>
    </row>
    <row r="46" spans="1:13" x14ac:dyDescent="0.35">
      <c r="A46" t="s">
        <v>18</v>
      </c>
      <c r="B46">
        <v>1</v>
      </c>
      <c r="C46" t="s">
        <v>14</v>
      </c>
      <c r="D46">
        <v>4</v>
      </c>
      <c r="E46">
        <v>8</v>
      </c>
      <c r="F46">
        <v>4673</v>
      </c>
      <c r="G46">
        <v>20219</v>
      </c>
      <c r="H46" s="8">
        <v>0.23111924427518671</v>
      </c>
      <c r="I46" s="12">
        <v>0.11375</v>
      </c>
      <c r="J46">
        <v>8129</v>
      </c>
      <c r="K46" s="12">
        <v>0.49919999999999998</v>
      </c>
      <c r="L46" s="12">
        <v>0.84541699999999997</v>
      </c>
      <c r="M46">
        <v>0.22</v>
      </c>
    </row>
    <row r="47" spans="1:13" x14ac:dyDescent="0.35">
      <c r="A47" t="s">
        <v>19</v>
      </c>
      <c r="B47">
        <v>1</v>
      </c>
      <c r="C47" t="s">
        <v>14</v>
      </c>
      <c r="D47">
        <v>4</v>
      </c>
      <c r="E47">
        <v>8</v>
      </c>
      <c r="F47">
        <v>4414</v>
      </c>
      <c r="G47">
        <v>17768</v>
      </c>
      <c r="H47" s="8">
        <v>0.24842413327330032</v>
      </c>
      <c r="I47" s="12">
        <v>0.105903</v>
      </c>
      <c r="J47">
        <v>5968</v>
      </c>
      <c r="K47" s="12">
        <v>0.411528</v>
      </c>
      <c r="L47" s="12">
        <v>0.85277800000000004</v>
      </c>
      <c r="M47">
        <v>0.2</v>
      </c>
    </row>
    <row r="48" spans="1:13" x14ac:dyDescent="0.35">
      <c r="A48" t="s">
        <v>20</v>
      </c>
      <c r="B48">
        <v>1</v>
      </c>
      <c r="C48" t="s">
        <v>14</v>
      </c>
      <c r="D48">
        <v>4</v>
      </c>
      <c r="E48">
        <v>8</v>
      </c>
      <c r="F48">
        <v>6277</v>
      </c>
      <c r="G48">
        <v>14876</v>
      </c>
      <c r="H48" s="8">
        <v>0.42195482656628125</v>
      </c>
      <c r="I48" s="12">
        <v>6.6670000000000002E-3</v>
      </c>
      <c r="J48">
        <v>45</v>
      </c>
      <c r="K48" s="12">
        <v>0</v>
      </c>
      <c r="L48" s="12">
        <v>0</v>
      </c>
      <c r="M48">
        <v>0.16</v>
      </c>
    </row>
    <row r="49" spans="1:13" x14ac:dyDescent="0.35">
      <c r="A49" t="s">
        <v>21</v>
      </c>
      <c r="B49">
        <v>1</v>
      </c>
      <c r="C49" t="s">
        <v>14</v>
      </c>
      <c r="D49">
        <v>4</v>
      </c>
      <c r="E49">
        <v>8</v>
      </c>
      <c r="F49">
        <v>5379</v>
      </c>
      <c r="G49">
        <v>18924</v>
      </c>
      <c r="H49" s="8">
        <v>0.28424223208623972</v>
      </c>
      <c r="I49" s="12">
        <v>7.8673000000000007E-2</v>
      </c>
      <c r="J49">
        <v>5468</v>
      </c>
      <c r="K49" s="12">
        <v>0.52158000000000004</v>
      </c>
      <c r="L49" s="12">
        <v>0.84880999999999995</v>
      </c>
      <c r="M49">
        <v>0.21</v>
      </c>
    </row>
    <row r="50" spans="1:13" x14ac:dyDescent="0.35">
      <c r="A50" t="s">
        <v>13</v>
      </c>
      <c r="B50">
        <v>1</v>
      </c>
      <c r="C50" t="s">
        <v>14</v>
      </c>
      <c r="D50">
        <v>4</v>
      </c>
      <c r="E50">
        <v>16</v>
      </c>
      <c r="F50">
        <v>5058</v>
      </c>
      <c r="G50">
        <v>24128</v>
      </c>
      <c r="H50" s="8">
        <v>0.20963196286472149</v>
      </c>
      <c r="I50" s="12">
        <v>0.43728099999999998</v>
      </c>
      <c r="J50">
        <v>2661</v>
      </c>
      <c r="K50" s="12">
        <v>0.61593399999999998</v>
      </c>
      <c r="L50" s="12">
        <v>0.56969099999999995</v>
      </c>
      <c r="M50">
        <v>0.21</v>
      </c>
    </row>
    <row r="51" spans="1:13" x14ac:dyDescent="0.35">
      <c r="A51" t="s">
        <v>15</v>
      </c>
      <c r="B51">
        <v>1</v>
      </c>
      <c r="C51" t="s">
        <v>14</v>
      </c>
      <c r="D51">
        <v>4</v>
      </c>
      <c r="E51">
        <v>16</v>
      </c>
      <c r="F51">
        <v>4417</v>
      </c>
      <c r="G51">
        <v>21646</v>
      </c>
      <c r="H51" s="8">
        <v>0.20405617666081494</v>
      </c>
      <c r="I51" s="12">
        <v>0.20838499999999999</v>
      </c>
      <c r="J51">
        <v>6750</v>
      </c>
      <c r="K51" s="12">
        <v>0.51096299999999995</v>
      </c>
      <c r="L51" s="12">
        <v>0.71854200000000001</v>
      </c>
      <c r="M51">
        <v>0.22</v>
      </c>
    </row>
    <row r="52" spans="1:13" x14ac:dyDescent="0.35">
      <c r="A52" t="s">
        <v>16</v>
      </c>
      <c r="B52">
        <v>1</v>
      </c>
      <c r="C52" t="s">
        <v>14</v>
      </c>
      <c r="D52">
        <v>4</v>
      </c>
      <c r="E52">
        <v>16</v>
      </c>
      <c r="F52">
        <v>3696</v>
      </c>
      <c r="G52">
        <v>21274</v>
      </c>
      <c r="H52" s="8">
        <v>0.17373319544984489</v>
      </c>
      <c r="I52" s="12">
        <v>0.18130499999999999</v>
      </c>
      <c r="J52">
        <v>5106</v>
      </c>
      <c r="K52" s="12">
        <v>0.40932200000000002</v>
      </c>
      <c r="L52" s="12">
        <v>0.72569399999999995</v>
      </c>
      <c r="M52">
        <v>0.2</v>
      </c>
    </row>
    <row r="53" spans="1:13" x14ac:dyDescent="0.35">
      <c r="A53" t="s">
        <v>17</v>
      </c>
      <c r="B53">
        <v>1</v>
      </c>
      <c r="C53" t="s">
        <v>14</v>
      </c>
      <c r="D53">
        <v>4</v>
      </c>
      <c r="E53">
        <v>16</v>
      </c>
      <c r="F53">
        <v>3455</v>
      </c>
      <c r="G53">
        <v>33746</v>
      </c>
      <c r="H53" s="8">
        <v>0.10238250459313697</v>
      </c>
      <c r="I53" s="12">
        <v>0.18670300000000001</v>
      </c>
      <c r="J53">
        <v>8164</v>
      </c>
      <c r="K53" s="12">
        <v>0.34002900000000003</v>
      </c>
      <c r="L53" s="12">
        <v>0.72291700000000003</v>
      </c>
      <c r="M53">
        <v>0.28000000000000003</v>
      </c>
    </row>
    <row r="54" spans="1:13" x14ac:dyDescent="0.35">
      <c r="A54" t="s">
        <v>18</v>
      </c>
      <c r="B54">
        <v>1</v>
      </c>
      <c r="C54" t="s">
        <v>14</v>
      </c>
      <c r="D54">
        <v>4</v>
      </c>
      <c r="E54">
        <v>16</v>
      </c>
      <c r="F54">
        <v>4673</v>
      </c>
      <c r="G54">
        <v>21951</v>
      </c>
      <c r="H54" s="8">
        <v>0.21288323994351055</v>
      </c>
      <c r="I54" s="12">
        <v>0.206042</v>
      </c>
      <c r="J54">
        <v>6869</v>
      </c>
      <c r="K54" s="12">
        <v>0.50065499999999996</v>
      </c>
      <c r="L54" s="12">
        <v>0.71645800000000004</v>
      </c>
      <c r="M54">
        <v>0.28999999999999998</v>
      </c>
    </row>
    <row r="55" spans="1:13" x14ac:dyDescent="0.35">
      <c r="A55" t="s">
        <v>19</v>
      </c>
      <c r="B55">
        <v>1</v>
      </c>
      <c r="C55" t="s">
        <v>14</v>
      </c>
      <c r="D55">
        <v>4</v>
      </c>
      <c r="E55">
        <v>16</v>
      </c>
      <c r="F55">
        <v>4414</v>
      </c>
      <c r="G55">
        <v>19094</v>
      </c>
      <c r="H55" s="8">
        <v>0.23117209594637059</v>
      </c>
      <c r="I55" s="12">
        <v>0.19045100000000001</v>
      </c>
      <c r="J55">
        <v>5069</v>
      </c>
      <c r="K55" s="12">
        <v>0.41231000000000001</v>
      </c>
      <c r="L55" s="12">
        <v>0.72569399999999995</v>
      </c>
      <c r="M55">
        <v>0.24</v>
      </c>
    </row>
    <row r="56" spans="1:13" x14ac:dyDescent="0.35">
      <c r="A56" t="s">
        <v>20</v>
      </c>
      <c r="B56">
        <v>1</v>
      </c>
      <c r="C56" t="s">
        <v>14</v>
      </c>
      <c r="D56">
        <v>4</v>
      </c>
      <c r="E56">
        <v>16</v>
      </c>
      <c r="F56">
        <v>6277</v>
      </c>
      <c r="G56">
        <v>14876</v>
      </c>
      <c r="H56" s="8">
        <v>0.42195482656628125</v>
      </c>
      <c r="I56" s="12">
        <v>6.6670000000000002E-3</v>
      </c>
      <c r="J56">
        <v>42</v>
      </c>
      <c r="K56" s="12">
        <v>0</v>
      </c>
      <c r="L56" s="12">
        <v>0</v>
      </c>
      <c r="M56">
        <v>0.19</v>
      </c>
    </row>
    <row r="57" spans="1:13" x14ac:dyDescent="0.35">
      <c r="A57" t="s">
        <v>21</v>
      </c>
      <c r="B57">
        <v>1</v>
      </c>
      <c r="C57" t="s">
        <v>14</v>
      </c>
      <c r="D57">
        <v>4</v>
      </c>
      <c r="E57">
        <v>16</v>
      </c>
      <c r="F57">
        <v>5379</v>
      </c>
      <c r="G57">
        <v>20561</v>
      </c>
      <c r="H57" s="8">
        <v>0.26161178930985846</v>
      </c>
      <c r="I57" s="12">
        <v>0.138542</v>
      </c>
      <c r="J57">
        <v>4687</v>
      </c>
      <c r="K57" s="12">
        <v>0.51461500000000004</v>
      </c>
      <c r="L57" s="12">
        <v>0.71785699999999997</v>
      </c>
      <c r="M57">
        <v>0.22</v>
      </c>
    </row>
    <row r="58" spans="1:13" x14ac:dyDescent="0.35">
      <c r="A58" t="s">
        <v>13</v>
      </c>
      <c r="B58">
        <v>1</v>
      </c>
      <c r="C58" t="s">
        <v>14</v>
      </c>
      <c r="D58">
        <v>4</v>
      </c>
      <c r="E58">
        <v>32</v>
      </c>
      <c r="F58">
        <v>5058</v>
      </c>
      <c r="G58">
        <v>27975</v>
      </c>
      <c r="H58" s="8">
        <v>0.18080428954423591</v>
      </c>
      <c r="I58" s="12">
        <v>0.51321300000000003</v>
      </c>
      <c r="J58">
        <v>1777</v>
      </c>
      <c r="K58" s="12">
        <v>0.603827</v>
      </c>
      <c r="L58" s="12">
        <v>0.37256899999999998</v>
      </c>
      <c r="M58">
        <v>0.22</v>
      </c>
    </row>
    <row r="59" spans="1:13" x14ac:dyDescent="0.35">
      <c r="A59" t="s">
        <v>15</v>
      </c>
      <c r="B59">
        <v>1</v>
      </c>
      <c r="C59" t="s">
        <v>14</v>
      </c>
      <c r="D59">
        <v>4</v>
      </c>
      <c r="E59">
        <v>32</v>
      </c>
      <c r="F59">
        <v>4417</v>
      </c>
      <c r="G59">
        <v>25258</v>
      </c>
      <c r="H59" s="8">
        <v>0.17487528703777022</v>
      </c>
      <c r="I59" s="12">
        <v>0.38984400000000002</v>
      </c>
      <c r="J59">
        <v>4582</v>
      </c>
      <c r="K59" s="12">
        <v>0.49017899999999998</v>
      </c>
      <c r="L59" s="12">
        <v>0.46791700000000003</v>
      </c>
      <c r="M59">
        <v>0.22</v>
      </c>
    </row>
    <row r="60" spans="1:13" x14ac:dyDescent="0.35">
      <c r="A60" t="s">
        <v>16</v>
      </c>
      <c r="B60">
        <v>1</v>
      </c>
      <c r="C60" t="s">
        <v>14</v>
      </c>
      <c r="D60">
        <v>4</v>
      </c>
      <c r="E60">
        <v>32</v>
      </c>
      <c r="F60">
        <v>3696</v>
      </c>
      <c r="G60">
        <v>23681</v>
      </c>
      <c r="H60" s="8">
        <v>0.15607449009754656</v>
      </c>
      <c r="I60" s="12">
        <v>0.34062500000000001</v>
      </c>
      <c r="J60">
        <v>3780</v>
      </c>
      <c r="K60" s="12">
        <v>0.36137599999999998</v>
      </c>
      <c r="L60" s="12">
        <v>0.47430600000000001</v>
      </c>
      <c r="M60">
        <v>0.21</v>
      </c>
    </row>
    <row r="61" spans="1:13" x14ac:dyDescent="0.35">
      <c r="A61" t="s">
        <v>17</v>
      </c>
      <c r="B61">
        <v>1</v>
      </c>
      <c r="C61" t="s">
        <v>14</v>
      </c>
      <c r="D61">
        <v>4</v>
      </c>
      <c r="E61">
        <v>32</v>
      </c>
      <c r="F61">
        <v>3455</v>
      </c>
      <c r="G61">
        <v>37562</v>
      </c>
      <c r="H61" s="8">
        <v>9.1981257654012036E-2</v>
      </c>
      <c r="I61" s="12">
        <v>0.34825400000000001</v>
      </c>
      <c r="J61">
        <v>6074</v>
      </c>
      <c r="K61" s="12">
        <v>0.29733300000000001</v>
      </c>
      <c r="L61" s="12">
        <v>0.47031299999999998</v>
      </c>
      <c r="M61">
        <v>0.3</v>
      </c>
    </row>
    <row r="62" spans="1:13" x14ac:dyDescent="0.35">
      <c r="A62" t="s">
        <v>18</v>
      </c>
      <c r="B62">
        <v>1</v>
      </c>
      <c r="C62" t="s">
        <v>14</v>
      </c>
      <c r="D62">
        <v>4</v>
      </c>
      <c r="E62">
        <v>32</v>
      </c>
      <c r="F62">
        <v>4673</v>
      </c>
      <c r="G62">
        <v>24203</v>
      </c>
      <c r="H62" s="8">
        <v>0.19307523860678427</v>
      </c>
      <c r="I62" s="12">
        <v>0.36885400000000002</v>
      </c>
      <c r="J62">
        <v>4370</v>
      </c>
      <c r="K62" s="12">
        <v>0.51304300000000003</v>
      </c>
      <c r="L62" s="12">
        <v>0.46708300000000003</v>
      </c>
      <c r="M62">
        <v>0.23</v>
      </c>
    </row>
    <row r="63" spans="1:13" x14ac:dyDescent="0.35">
      <c r="A63" t="s">
        <v>19</v>
      </c>
      <c r="B63">
        <v>1</v>
      </c>
      <c r="C63" t="s">
        <v>14</v>
      </c>
      <c r="D63">
        <v>4</v>
      </c>
      <c r="E63">
        <v>32</v>
      </c>
      <c r="F63">
        <v>4414</v>
      </c>
      <c r="G63">
        <v>21323</v>
      </c>
      <c r="H63" s="8">
        <v>0.20700651878253529</v>
      </c>
      <c r="I63" s="12">
        <v>0.35960599999999998</v>
      </c>
      <c r="J63">
        <v>3718</v>
      </c>
      <c r="K63" s="12">
        <v>0.36740200000000001</v>
      </c>
      <c r="L63" s="12">
        <v>0.47430600000000001</v>
      </c>
      <c r="M63">
        <v>0.21</v>
      </c>
    </row>
    <row r="64" spans="1:13" x14ac:dyDescent="0.35">
      <c r="A64" t="s">
        <v>20</v>
      </c>
      <c r="B64">
        <v>1</v>
      </c>
      <c r="C64" t="s">
        <v>14</v>
      </c>
      <c r="D64">
        <v>4</v>
      </c>
      <c r="E64">
        <v>32</v>
      </c>
      <c r="F64">
        <v>6277</v>
      </c>
      <c r="G64">
        <v>14865</v>
      </c>
      <c r="H64" s="8">
        <v>0.42226707029936089</v>
      </c>
      <c r="I64" s="12">
        <v>6.8060000000000004E-3</v>
      </c>
      <c r="J64">
        <v>12</v>
      </c>
      <c r="K64" s="12">
        <v>0</v>
      </c>
      <c r="L64" s="12">
        <v>0</v>
      </c>
      <c r="M64">
        <v>0.16</v>
      </c>
    </row>
    <row r="65" spans="1:13" x14ac:dyDescent="0.35">
      <c r="A65" t="s">
        <v>21</v>
      </c>
      <c r="B65">
        <v>1</v>
      </c>
      <c r="C65" t="s">
        <v>14</v>
      </c>
      <c r="D65">
        <v>4</v>
      </c>
      <c r="E65">
        <v>32</v>
      </c>
      <c r="F65">
        <v>5379</v>
      </c>
      <c r="G65">
        <v>22507</v>
      </c>
      <c r="H65" s="8">
        <v>0.23899231350246589</v>
      </c>
      <c r="I65" s="12">
        <v>0.26184200000000002</v>
      </c>
      <c r="J65">
        <v>3017</v>
      </c>
      <c r="K65" s="12">
        <v>0.517733</v>
      </c>
      <c r="L65" s="12">
        <v>0.46488099999999999</v>
      </c>
      <c r="M65">
        <v>0.21</v>
      </c>
    </row>
    <row r="66" spans="1:13" x14ac:dyDescent="0.35">
      <c r="A66" t="s">
        <v>13</v>
      </c>
      <c r="B66">
        <v>5</v>
      </c>
      <c r="C66" t="s">
        <v>14</v>
      </c>
      <c r="D66">
        <v>4</v>
      </c>
      <c r="E66">
        <v>0</v>
      </c>
      <c r="F66">
        <v>24798</v>
      </c>
      <c r="G66">
        <v>99150</v>
      </c>
      <c r="H66" s="8">
        <v>0.25010590015128592</v>
      </c>
      <c r="I66" s="12">
        <v>0.34732600000000002</v>
      </c>
      <c r="J66">
        <v>14916</v>
      </c>
      <c r="K66" s="12">
        <v>0.42075600000000002</v>
      </c>
      <c r="L66" s="12">
        <v>0.477626</v>
      </c>
      <c r="M66">
        <v>0.72</v>
      </c>
    </row>
    <row r="67" spans="1:13" x14ac:dyDescent="0.35">
      <c r="A67" t="s">
        <v>15</v>
      </c>
      <c r="B67">
        <v>5</v>
      </c>
      <c r="C67" t="s">
        <v>14</v>
      </c>
      <c r="D67">
        <v>4</v>
      </c>
      <c r="E67">
        <v>0</v>
      </c>
      <c r="F67">
        <v>21825</v>
      </c>
      <c r="G67">
        <v>89644</v>
      </c>
      <c r="H67" s="8">
        <v>0.24346303154700816</v>
      </c>
      <c r="I67" s="12">
        <v>9.6395999999999996E-2</v>
      </c>
      <c r="J67">
        <v>25199</v>
      </c>
      <c r="K67" s="12">
        <v>0.67701100000000003</v>
      </c>
      <c r="L67" s="12">
        <v>0.93025800000000003</v>
      </c>
      <c r="M67">
        <v>0.72</v>
      </c>
    </row>
    <row r="68" spans="1:13" x14ac:dyDescent="0.35">
      <c r="A68" t="s">
        <v>16</v>
      </c>
      <c r="B68">
        <v>5</v>
      </c>
      <c r="C68" t="s">
        <v>14</v>
      </c>
      <c r="D68">
        <v>4</v>
      </c>
      <c r="E68">
        <v>0</v>
      </c>
      <c r="F68">
        <v>18222</v>
      </c>
      <c r="G68">
        <v>91735</v>
      </c>
      <c r="H68" s="8">
        <v>0.1986373794080776</v>
      </c>
      <c r="I68" s="12">
        <v>2.8896000000000002E-2</v>
      </c>
      <c r="J68">
        <v>27528</v>
      </c>
      <c r="K68" s="12">
        <v>0.50109000000000004</v>
      </c>
      <c r="L68" s="12">
        <v>0.96468299999999996</v>
      </c>
      <c r="M68">
        <v>0.67</v>
      </c>
    </row>
    <row r="69" spans="1:13" x14ac:dyDescent="0.35">
      <c r="A69" t="s">
        <v>17</v>
      </c>
      <c r="B69">
        <v>5</v>
      </c>
      <c r="C69" t="s">
        <v>14</v>
      </c>
      <c r="D69">
        <v>4</v>
      </c>
      <c r="E69">
        <v>0</v>
      </c>
      <c r="F69">
        <v>17007</v>
      </c>
      <c r="G69">
        <v>146487</v>
      </c>
      <c r="H69" s="8">
        <v>0.11609903950521207</v>
      </c>
      <c r="I69" s="12">
        <v>2.9392999999999999E-2</v>
      </c>
      <c r="J69">
        <v>46534</v>
      </c>
      <c r="K69" s="12">
        <v>0.395152</v>
      </c>
      <c r="L69" s="12">
        <v>0.96988200000000002</v>
      </c>
      <c r="M69">
        <v>1.06</v>
      </c>
    </row>
    <row r="70" spans="1:13" x14ac:dyDescent="0.35">
      <c r="A70" t="s">
        <v>18</v>
      </c>
      <c r="B70">
        <v>5</v>
      </c>
      <c r="C70" t="s">
        <v>14</v>
      </c>
      <c r="D70">
        <v>4</v>
      </c>
      <c r="E70">
        <v>0</v>
      </c>
      <c r="F70">
        <v>23056</v>
      </c>
      <c r="G70">
        <v>90130</v>
      </c>
      <c r="H70" s="8">
        <v>0.25580827693331853</v>
      </c>
      <c r="I70" s="12">
        <v>3.8927000000000003E-2</v>
      </c>
      <c r="J70">
        <v>28501</v>
      </c>
      <c r="K70" s="12">
        <v>0.75779799999999997</v>
      </c>
      <c r="L70" s="12">
        <v>0.95208300000000001</v>
      </c>
      <c r="M70">
        <v>0.77</v>
      </c>
    </row>
    <row r="71" spans="1:13" x14ac:dyDescent="0.35">
      <c r="A71" t="s">
        <v>19</v>
      </c>
      <c r="B71">
        <v>5</v>
      </c>
      <c r="C71" t="s">
        <v>14</v>
      </c>
      <c r="D71">
        <v>4</v>
      </c>
      <c r="E71">
        <v>0</v>
      </c>
      <c r="F71">
        <v>21810</v>
      </c>
      <c r="G71">
        <v>81194</v>
      </c>
      <c r="H71" s="8">
        <v>0.26861590757937781</v>
      </c>
      <c r="I71" s="12">
        <v>2.9652999999999999E-2</v>
      </c>
      <c r="J71">
        <v>27599</v>
      </c>
      <c r="K71" s="12">
        <v>0.49983699999999998</v>
      </c>
      <c r="L71" s="12">
        <v>0.96637499999999998</v>
      </c>
      <c r="M71">
        <v>0.64</v>
      </c>
    </row>
    <row r="72" spans="1:13" x14ac:dyDescent="0.35">
      <c r="A72" t="s">
        <v>20</v>
      </c>
      <c r="B72">
        <v>5</v>
      </c>
      <c r="C72" t="s">
        <v>14</v>
      </c>
      <c r="D72">
        <v>4</v>
      </c>
      <c r="E72">
        <v>0</v>
      </c>
      <c r="F72">
        <v>31077</v>
      </c>
      <c r="G72">
        <v>72805</v>
      </c>
      <c r="H72" s="8">
        <v>0.42685255133575989</v>
      </c>
      <c r="I72" s="12">
        <v>7.9199999999999995E-4</v>
      </c>
      <c r="J72">
        <v>20</v>
      </c>
      <c r="K72" s="12">
        <v>0.55000000000000004</v>
      </c>
      <c r="L72" s="12">
        <v>0.44</v>
      </c>
      <c r="M72">
        <v>0.47</v>
      </c>
    </row>
    <row r="73" spans="1:13" x14ac:dyDescent="0.35">
      <c r="A73" t="s">
        <v>21</v>
      </c>
      <c r="B73">
        <v>5</v>
      </c>
      <c r="C73" t="s">
        <v>14</v>
      </c>
      <c r="D73">
        <v>4</v>
      </c>
      <c r="E73">
        <v>0</v>
      </c>
      <c r="F73">
        <v>26630</v>
      </c>
      <c r="G73">
        <v>84568</v>
      </c>
      <c r="H73" s="8">
        <v>0.31489452275092233</v>
      </c>
      <c r="I73" s="12">
        <v>1.6656000000000001E-2</v>
      </c>
      <c r="J73">
        <v>19197</v>
      </c>
      <c r="K73" s="12">
        <v>0.83559899999999998</v>
      </c>
      <c r="L73" s="12">
        <v>0.95482100000000003</v>
      </c>
      <c r="M73">
        <v>0.7</v>
      </c>
    </row>
    <row r="74" spans="1:13" x14ac:dyDescent="0.35">
      <c r="A74" t="s">
        <v>13</v>
      </c>
      <c r="B74">
        <v>5</v>
      </c>
      <c r="C74" t="s">
        <v>14</v>
      </c>
      <c r="D74">
        <v>16</v>
      </c>
      <c r="E74">
        <v>0</v>
      </c>
      <c r="F74">
        <v>24798</v>
      </c>
      <c r="G74">
        <v>81704</v>
      </c>
      <c r="H74" s="8">
        <v>0.30351023205718203</v>
      </c>
      <c r="I74" s="12">
        <v>6.5658999999999995E-2</v>
      </c>
      <c r="J74">
        <v>62415</v>
      </c>
      <c r="K74" s="12">
        <v>0.19309499999999999</v>
      </c>
      <c r="L74" s="12">
        <v>0.87568100000000004</v>
      </c>
      <c r="M74">
        <v>0.73</v>
      </c>
    </row>
    <row r="75" spans="1:13" x14ac:dyDescent="0.35">
      <c r="A75" t="s">
        <v>15</v>
      </c>
      <c r="B75">
        <v>5</v>
      </c>
      <c r="C75" t="s">
        <v>14</v>
      </c>
      <c r="D75">
        <v>16</v>
      </c>
      <c r="E75">
        <v>0</v>
      </c>
      <c r="F75">
        <v>21825</v>
      </c>
      <c r="G75">
        <v>98982</v>
      </c>
      <c r="H75" s="8">
        <v>0.2204946353882524</v>
      </c>
      <c r="I75" s="12">
        <v>9.8219000000000001E-2</v>
      </c>
      <c r="J75">
        <v>66329</v>
      </c>
      <c r="K75" s="12">
        <v>0.27072600000000002</v>
      </c>
      <c r="L75" s="12">
        <v>0.75307199999999996</v>
      </c>
      <c r="M75">
        <v>0.82</v>
      </c>
    </row>
    <row r="76" spans="1:13" x14ac:dyDescent="0.35">
      <c r="A76" t="s">
        <v>16</v>
      </c>
      <c r="B76">
        <v>5</v>
      </c>
      <c r="C76" t="s">
        <v>14</v>
      </c>
      <c r="D76">
        <v>16</v>
      </c>
      <c r="E76">
        <v>0</v>
      </c>
      <c r="F76">
        <v>18222</v>
      </c>
      <c r="G76">
        <v>93216</v>
      </c>
      <c r="H76" s="8">
        <v>0.1954814624098867</v>
      </c>
      <c r="I76" s="12">
        <v>3.5687000000000003E-2</v>
      </c>
      <c r="J76">
        <v>91478</v>
      </c>
      <c r="K76" s="12">
        <v>0.149927</v>
      </c>
      <c r="L76" s="12">
        <v>0.95608199999999999</v>
      </c>
      <c r="M76">
        <v>0.77</v>
      </c>
    </row>
    <row r="77" spans="1:13" x14ac:dyDescent="0.35">
      <c r="A77" t="s">
        <v>17</v>
      </c>
      <c r="B77">
        <v>5</v>
      </c>
      <c r="C77" t="s">
        <v>14</v>
      </c>
      <c r="D77">
        <v>16</v>
      </c>
      <c r="E77">
        <v>0</v>
      </c>
      <c r="F77">
        <v>17007</v>
      </c>
      <c r="G77">
        <v>148898</v>
      </c>
      <c r="H77" s="8">
        <v>0.11421912987414203</v>
      </c>
      <c r="I77" s="12">
        <v>3.6961000000000001E-2</v>
      </c>
      <c r="J77">
        <v>156388</v>
      </c>
      <c r="K77" s="12">
        <v>0.11645999999999999</v>
      </c>
      <c r="L77" s="12">
        <v>0.95691700000000002</v>
      </c>
      <c r="M77">
        <v>1.23</v>
      </c>
    </row>
    <row r="78" spans="1:13" x14ac:dyDescent="0.35">
      <c r="A78" t="s">
        <v>18</v>
      </c>
      <c r="B78">
        <v>5</v>
      </c>
      <c r="C78" t="s">
        <v>14</v>
      </c>
      <c r="D78">
        <v>16</v>
      </c>
      <c r="E78">
        <v>0</v>
      </c>
      <c r="F78">
        <v>23056</v>
      </c>
      <c r="G78">
        <v>99053</v>
      </c>
      <c r="H78" s="8">
        <v>0.23276427770991287</v>
      </c>
      <c r="I78" s="12">
        <v>8.1375000000000003E-2</v>
      </c>
      <c r="J78">
        <v>82292</v>
      </c>
      <c r="K78" s="12">
        <v>0.24945300000000001</v>
      </c>
      <c r="L78" s="12">
        <v>0.87688999999999995</v>
      </c>
      <c r="M78">
        <v>0.89</v>
      </c>
    </row>
    <row r="79" spans="1:13" x14ac:dyDescent="0.35">
      <c r="A79" t="s">
        <v>19</v>
      </c>
      <c r="B79">
        <v>5</v>
      </c>
      <c r="C79" t="s">
        <v>14</v>
      </c>
      <c r="D79">
        <v>16</v>
      </c>
      <c r="E79">
        <v>0</v>
      </c>
      <c r="F79">
        <v>21810</v>
      </c>
      <c r="G79">
        <v>82531</v>
      </c>
      <c r="H79" s="8">
        <v>0.26426433703699215</v>
      </c>
      <c r="I79" s="12">
        <v>3.8218000000000002E-2</v>
      </c>
      <c r="J79">
        <v>88880</v>
      </c>
      <c r="K79" s="12">
        <v>0.15420800000000001</v>
      </c>
      <c r="L79" s="12">
        <v>0.95792600000000006</v>
      </c>
      <c r="M79">
        <v>0.77</v>
      </c>
    </row>
    <row r="80" spans="1:13" x14ac:dyDescent="0.35">
      <c r="A80" t="s">
        <v>20</v>
      </c>
      <c r="B80">
        <v>5</v>
      </c>
      <c r="C80" t="s">
        <v>14</v>
      </c>
      <c r="D80">
        <v>16</v>
      </c>
      <c r="E80">
        <v>0</v>
      </c>
      <c r="F80">
        <v>31077</v>
      </c>
      <c r="G80">
        <v>72853</v>
      </c>
      <c r="H80" s="8">
        <v>0.42657131483947125</v>
      </c>
      <c r="I80" s="12">
        <v>1.361E-3</v>
      </c>
      <c r="J80">
        <v>64</v>
      </c>
      <c r="K80" s="12">
        <v>0.109375</v>
      </c>
      <c r="L80" s="12">
        <v>0.28000000000000003</v>
      </c>
      <c r="M80">
        <v>0.54</v>
      </c>
    </row>
    <row r="81" spans="1:13" x14ac:dyDescent="0.35">
      <c r="A81" t="s">
        <v>21</v>
      </c>
      <c r="B81">
        <v>5</v>
      </c>
      <c r="C81" t="s">
        <v>14</v>
      </c>
      <c r="D81">
        <v>16</v>
      </c>
      <c r="E81">
        <v>0</v>
      </c>
      <c r="F81">
        <v>26630</v>
      </c>
      <c r="G81">
        <v>86135</v>
      </c>
      <c r="H81" s="8">
        <v>0.309165844314158</v>
      </c>
      <c r="I81" s="12">
        <v>2.7906E-2</v>
      </c>
      <c r="J81">
        <v>56329</v>
      </c>
      <c r="K81" s="12">
        <v>0.26655899999999999</v>
      </c>
      <c r="L81" s="12">
        <v>0.92099600000000004</v>
      </c>
      <c r="M81">
        <v>0.81</v>
      </c>
    </row>
    <row r="82" spans="1:13" x14ac:dyDescent="0.35">
      <c r="A82" t="s">
        <v>13</v>
      </c>
      <c r="B82">
        <v>5</v>
      </c>
      <c r="C82" t="s">
        <v>14</v>
      </c>
      <c r="D82">
        <v>32</v>
      </c>
      <c r="E82">
        <v>0</v>
      </c>
      <c r="F82">
        <v>24798</v>
      </c>
      <c r="G82">
        <v>81400</v>
      </c>
      <c r="H82" s="8">
        <v>0.30464373464373462</v>
      </c>
      <c r="I82" s="12">
        <v>6.9581000000000004E-2</v>
      </c>
      <c r="J82">
        <v>71196</v>
      </c>
      <c r="K82" s="12">
        <v>0.17113300000000001</v>
      </c>
      <c r="L82" s="12">
        <v>0.86700299999999997</v>
      </c>
      <c r="M82">
        <v>0.73</v>
      </c>
    </row>
    <row r="83" spans="1:13" x14ac:dyDescent="0.35">
      <c r="A83" t="s">
        <v>15</v>
      </c>
      <c r="B83">
        <v>5</v>
      </c>
      <c r="C83" t="s">
        <v>14</v>
      </c>
      <c r="D83">
        <v>32</v>
      </c>
      <c r="E83">
        <v>0</v>
      </c>
      <c r="F83">
        <v>21825</v>
      </c>
      <c r="G83">
        <v>107215</v>
      </c>
      <c r="H83" s="8">
        <v>0.2035629342909108</v>
      </c>
      <c r="I83" s="12">
        <v>0.11641700000000001</v>
      </c>
      <c r="J83">
        <v>81651</v>
      </c>
      <c r="K83" s="12">
        <v>0.18697900000000001</v>
      </c>
      <c r="L83" s="12">
        <v>0.63801200000000002</v>
      </c>
      <c r="M83">
        <v>0.84</v>
      </c>
    </row>
    <row r="84" spans="1:13" x14ac:dyDescent="0.35">
      <c r="A84" t="s">
        <v>16</v>
      </c>
      <c r="B84">
        <v>5</v>
      </c>
      <c r="C84" t="s">
        <v>14</v>
      </c>
      <c r="D84">
        <v>32</v>
      </c>
      <c r="E84">
        <v>0</v>
      </c>
      <c r="F84">
        <v>18222</v>
      </c>
      <c r="G84">
        <v>93416</v>
      </c>
      <c r="H84" s="8">
        <v>0.19506294424937912</v>
      </c>
      <c r="I84" s="12">
        <v>3.4526000000000001E-2</v>
      </c>
      <c r="J84">
        <v>118137</v>
      </c>
      <c r="K84" s="12">
        <v>0.115214</v>
      </c>
      <c r="L84" s="12">
        <v>0.94797299999999995</v>
      </c>
      <c r="M84">
        <v>0.81</v>
      </c>
    </row>
    <row r="85" spans="1:13" x14ac:dyDescent="0.35">
      <c r="A85" t="s">
        <v>17</v>
      </c>
      <c r="B85">
        <v>5</v>
      </c>
      <c r="C85" t="s">
        <v>14</v>
      </c>
      <c r="D85">
        <v>32</v>
      </c>
      <c r="E85">
        <v>0</v>
      </c>
      <c r="F85">
        <v>17007</v>
      </c>
      <c r="G85">
        <v>152048</v>
      </c>
      <c r="H85" s="8">
        <v>0.1118528359465432</v>
      </c>
      <c r="I85" s="12">
        <v>3.8510999999999997E-2</v>
      </c>
      <c r="J85">
        <v>216931</v>
      </c>
      <c r="K85" s="12">
        <v>7.9486000000000001E-2</v>
      </c>
      <c r="L85" s="12">
        <v>0.90829099999999996</v>
      </c>
      <c r="M85">
        <v>1.21</v>
      </c>
    </row>
    <row r="86" spans="1:13" x14ac:dyDescent="0.35">
      <c r="A86" t="s">
        <v>18</v>
      </c>
      <c r="B86">
        <v>5</v>
      </c>
      <c r="C86" t="s">
        <v>14</v>
      </c>
      <c r="D86">
        <v>32</v>
      </c>
      <c r="E86">
        <v>0</v>
      </c>
      <c r="F86">
        <v>23056</v>
      </c>
      <c r="G86">
        <v>108645</v>
      </c>
      <c r="H86" s="8">
        <v>0.21221409176676331</v>
      </c>
      <c r="I86" s="12">
        <v>0.120479</v>
      </c>
      <c r="J86">
        <v>118321</v>
      </c>
      <c r="K86" s="12">
        <v>0.13455800000000001</v>
      </c>
      <c r="L86" s="12">
        <v>0.66623399999999999</v>
      </c>
      <c r="M86">
        <v>0.92</v>
      </c>
    </row>
    <row r="87" spans="1:13" x14ac:dyDescent="0.35">
      <c r="A87" t="s">
        <v>19</v>
      </c>
      <c r="B87">
        <v>5</v>
      </c>
      <c r="C87" t="s">
        <v>14</v>
      </c>
      <c r="D87">
        <v>32</v>
      </c>
      <c r="E87">
        <v>0</v>
      </c>
      <c r="F87">
        <v>21810</v>
      </c>
      <c r="G87">
        <v>92421</v>
      </c>
      <c r="H87" s="8">
        <v>0.23598532800986788</v>
      </c>
      <c r="I87" s="12">
        <v>6.1620000000000001E-2</v>
      </c>
      <c r="J87">
        <v>128624</v>
      </c>
      <c r="K87" s="12">
        <v>8.8350999999999999E-2</v>
      </c>
      <c r="L87" s="12">
        <v>0.79291100000000003</v>
      </c>
      <c r="M87">
        <v>0.8</v>
      </c>
    </row>
    <row r="88" spans="1:13" x14ac:dyDescent="0.35">
      <c r="A88" t="s">
        <v>20</v>
      </c>
      <c r="B88">
        <v>5</v>
      </c>
      <c r="C88" t="s">
        <v>14</v>
      </c>
      <c r="D88">
        <v>32</v>
      </c>
      <c r="E88">
        <v>0</v>
      </c>
      <c r="F88">
        <v>31077</v>
      </c>
      <c r="G88">
        <v>72845</v>
      </c>
      <c r="H88" s="8">
        <v>0.4266181618505045</v>
      </c>
      <c r="I88" s="12">
        <v>1.583E-3</v>
      </c>
      <c r="J88">
        <v>62</v>
      </c>
      <c r="K88" s="12">
        <v>6.4516000000000004E-2</v>
      </c>
      <c r="L88" s="12">
        <v>0.16</v>
      </c>
      <c r="M88">
        <v>0.55000000000000004</v>
      </c>
    </row>
    <row r="89" spans="1:13" x14ac:dyDescent="0.35">
      <c r="A89" t="s">
        <v>21</v>
      </c>
      <c r="B89">
        <v>5</v>
      </c>
      <c r="C89" t="s">
        <v>14</v>
      </c>
      <c r="D89">
        <v>32</v>
      </c>
      <c r="E89">
        <v>0</v>
      </c>
      <c r="F89">
        <v>26630</v>
      </c>
      <c r="G89">
        <v>91509</v>
      </c>
      <c r="H89" s="8">
        <v>0.29100962746833647</v>
      </c>
      <c r="I89" s="12">
        <v>7.3465000000000003E-2</v>
      </c>
      <c r="J89">
        <v>62974</v>
      </c>
      <c r="K89" s="12">
        <v>0.17485000000000001</v>
      </c>
      <c r="L89" s="12">
        <v>0.65545600000000004</v>
      </c>
      <c r="M89">
        <v>0.87</v>
      </c>
    </row>
    <row r="90" spans="1:13" x14ac:dyDescent="0.35">
      <c r="A90" t="s">
        <v>13</v>
      </c>
      <c r="B90">
        <v>5</v>
      </c>
      <c r="C90" t="s">
        <v>14</v>
      </c>
      <c r="D90">
        <v>64</v>
      </c>
      <c r="E90">
        <v>0</v>
      </c>
      <c r="F90">
        <v>24798</v>
      </c>
      <c r="G90">
        <v>102879</v>
      </c>
      <c r="H90" s="8">
        <v>0.24104044557198262</v>
      </c>
      <c r="I90" s="12">
        <v>0.33960099999999999</v>
      </c>
      <c r="J90">
        <v>90405</v>
      </c>
      <c r="K90" s="12">
        <v>7.8922999999999993E-2</v>
      </c>
      <c r="L90" s="12">
        <v>0.49534899999999998</v>
      </c>
      <c r="M90">
        <v>0.84</v>
      </c>
    </row>
    <row r="91" spans="1:13" x14ac:dyDescent="0.35">
      <c r="A91" t="s">
        <v>15</v>
      </c>
      <c r="B91">
        <v>5</v>
      </c>
      <c r="C91" t="s">
        <v>14</v>
      </c>
      <c r="D91">
        <v>64</v>
      </c>
      <c r="E91">
        <v>0</v>
      </c>
      <c r="F91">
        <v>21825</v>
      </c>
      <c r="G91">
        <v>133234</v>
      </c>
      <c r="H91" s="8">
        <v>0.16380953810588889</v>
      </c>
      <c r="I91" s="12">
        <v>0.39737499999999998</v>
      </c>
      <c r="J91">
        <v>114886</v>
      </c>
      <c r="K91" s="12">
        <v>7.6414999999999997E-2</v>
      </c>
      <c r="L91" s="12">
        <v>0.36591400000000002</v>
      </c>
      <c r="M91">
        <v>0.98</v>
      </c>
    </row>
    <row r="92" spans="1:13" x14ac:dyDescent="0.35">
      <c r="A92" t="s">
        <v>16</v>
      </c>
      <c r="B92">
        <v>5</v>
      </c>
      <c r="C92" t="s">
        <v>14</v>
      </c>
      <c r="D92">
        <v>64</v>
      </c>
      <c r="E92">
        <v>0</v>
      </c>
      <c r="F92">
        <v>18222</v>
      </c>
      <c r="G92">
        <v>120094</v>
      </c>
      <c r="H92" s="8">
        <v>0.15173114393724915</v>
      </c>
      <c r="I92" s="12">
        <v>0.32258399999999998</v>
      </c>
      <c r="J92">
        <v>149180</v>
      </c>
      <c r="K92" s="12">
        <v>4.8056000000000001E-2</v>
      </c>
      <c r="L92" s="12">
        <v>0.49729499999999999</v>
      </c>
      <c r="M92">
        <v>0.91</v>
      </c>
    </row>
    <row r="93" spans="1:13" x14ac:dyDescent="0.35">
      <c r="A93" t="s">
        <v>17</v>
      </c>
      <c r="B93">
        <v>5</v>
      </c>
      <c r="C93" t="s">
        <v>14</v>
      </c>
      <c r="D93">
        <v>64</v>
      </c>
      <c r="E93">
        <v>0</v>
      </c>
      <c r="F93">
        <v>17007</v>
      </c>
      <c r="G93">
        <v>191402</v>
      </c>
      <c r="H93" s="8">
        <v>8.8854870899990598E-2</v>
      </c>
      <c r="I93" s="12">
        <v>0.329737</v>
      </c>
      <c r="J93">
        <v>246145</v>
      </c>
      <c r="K93" s="12">
        <v>3.8786000000000001E-2</v>
      </c>
      <c r="L93" s="12">
        <v>0.49724000000000002</v>
      </c>
      <c r="M93">
        <v>1.35</v>
      </c>
    </row>
    <row r="94" spans="1:13" x14ac:dyDescent="0.35">
      <c r="A94" t="s">
        <v>18</v>
      </c>
      <c r="B94">
        <v>5</v>
      </c>
      <c r="C94" t="s">
        <v>14</v>
      </c>
      <c r="D94">
        <v>64</v>
      </c>
      <c r="E94">
        <v>0</v>
      </c>
      <c r="F94">
        <v>23056</v>
      </c>
      <c r="G94">
        <v>122351</v>
      </c>
      <c r="H94" s="8">
        <v>0.18844145123456285</v>
      </c>
      <c r="I94" s="12">
        <v>0.34764600000000001</v>
      </c>
      <c r="J94">
        <v>121937</v>
      </c>
      <c r="K94" s="12">
        <v>9.3778E-2</v>
      </c>
      <c r="L94" s="12">
        <v>0.47657699999999997</v>
      </c>
      <c r="M94">
        <v>0.28000000000000003</v>
      </c>
    </row>
    <row r="95" spans="1:13" x14ac:dyDescent="0.35">
      <c r="A95" t="s">
        <v>19</v>
      </c>
      <c r="B95">
        <v>5</v>
      </c>
      <c r="C95" t="s">
        <v>14</v>
      </c>
      <c r="D95">
        <v>64</v>
      </c>
      <c r="E95">
        <v>0</v>
      </c>
      <c r="F95">
        <v>21810</v>
      </c>
      <c r="G95">
        <v>108495</v>
      </c>
      <c r="H95" s="8">
        <v>0.20102308862159546</v>
      </c>
      <c r="I95" s="12">
        <v>0.34143499999999999</v>
      </c>
      <c r="J95">
        <v>148713</v>
      </c>
      <c r="K95" s="12">
        <v>4.6552999999999997E-2</v>
      </c>
      <c r="L95" s="12">
        <v>0.48139900000000002</v>
      </c>
      <c r="M95">
        <v>0.9</v>
      </c>
    </row>
    <row r="96" spans="1:13" x14ac:dyDescent="0.35">
      <c r="A96" t="s">
        <v>20</v>
      </c>
      <c r="B96">
        <v>5</v>
      </c>
      <c r="C96" t="s">
        <v>14</v>
      </c>
      <c r="D96">
        <v>64</v>
      </c>
      <c r="E96">
        <v>0</v>
      </c>
      <c r="F96">
        <v>31077</v>
      </c>
      <c r="G96">
        <v>72900</v>
      </c>
      <c r="H96" s="8">
        <v>0.42629629629629628</v>
      </c>
      <c r="I96" s="12">
        <v>1.4580000000000001E-3</v>
      </c>
      <c r="J96">
        <v>62</v>
      </c>
      <c r="K96" s="12">
        <v>0</v>
      </c>
      <c r="L96" s="12">
        <v>0</v>
      </c>
      <c r="M96">
        <v>0.53</v>
      </c>
    </row>
    <row r="97" spans="1:13" x14ac:dyDescent="0.35">
      <c r="A97" t="s">
        <v>21</v>
      </c>
      <c r="B97">
        <v>5</v>
      </c>
      <c r="C97" t="s">
        <v>14</v>
      </c>
      <c r="D97">
        <v>64</v>
      </c>
      <c r="E97">
        <v>0</v>
      </c>
      <c r="F97">
        <v>26630</v>
      </c>
      <c r="G97">
        <v>111185</v>
      </c>
      <c r="H97" s="8">
        <v>0.23951072536763052</v>
      </c>
      <c r="I97" s="12">
        <v>0.26932</v>
      </c>
      <c r="J97">
        <v>76877</v>
      </c>
      <c r="K97" s="12">
        <v>9.6257999999999996E-2</v>
      </c>
      <c r="L97" s="12">
        <v>0.440502</v>
      </c>
      <c r="M97">
        <v>0.95</v>
      </c>
    </row>
    <row r="98" spans="1:13" x14ac:dyDescent="0.35">
      <c r="A98" t="s">
        <v>13</v>
      </c>
      <c r="B98">
        <v>5</v>
      </c>
      <c r="C98" t="s">
        <v>14</v>
      </c>
      <c r="D98">
        <v>4</v>
      </c>
      <c r="E98">
        <v>4</v>
      </c>
      <c r="F98">
        <v>24798</v>
      </c>
      <c r="G98">
        <v>99272</v>
      </c>
      <c r="H98" s="8">
        <v>0.24979853332258845</v>
      </c>
      <c r="I98" s="12">
        <v>0.28077999999999997</v>
      </c>
      <c r="J98">
        <v>21998</v>
      </c>
      <c r="K98" s="12">
        <v>0.39449000000000001</v>
      </c>
      <c r="L98" s="12">
        <v>0.63846400000000003</v>
      </c>
      <c r="M98">
        <v>0.81</v>
      </c>
    </row>
    <row r="99" spans="1:13" x14ac:dyDescent="0.35">
      <c r="A99" t="s">
        <v>15</v>
      </c>
      <c r="B99">
        <v>5</v>
      </c>
      <c r="C99" t="s">
        <v>14</v>
      </c>
      <c r="D99">
        <v>4</v>
      </c>
      <c r="E99">
        <v>4</v>
      </c>
      <c r="F99">
        <v>21825</v>
      </c>
      <c r="G99">
        <v>91417</v>
      </c>
      <c r="H99" s="8">
        <v>0.23874115317719899</v>
      </c>
      <c r="I99" s="12">
        <v>7.3104000000000002E-2</v>
      </c>
      <c r="J99">
        <v>36498</v>
      </c>
      <c r="K99" s="12">
        <v>0.58109999999999995</v>
      </c>
      <c r="L99" s="12">
        <v>0.88455600000000001</v>
      </c>
      <c r="M99">
        <v>1.06</v>
      </c>
    </row>
    <row r="100" spans="1:13" x14ac:dyDescent="0.35">
      <c r="A100" t="s">
        <v>16</v>
      </c>
      <c r="B100">
        <v>5</v>
      </c>
      <c r="C100" t="s">
        <v>14</v>
      </c>
      <c r="D100">
        <v>4</v>
      </c>
      <c r="E100">
        <v>4</v>
      </c>
      <c r="F100">
        <v>18222</v>
      </c>
      <c r="G100">
        <v>95212</v>
      </c>
      <c r="H100" s="8">
        <v>0.19138343906230307</v>
      </c>
      <c r="I100" s="12">
        <v>5.7341999999999997E-2</v>
      </c>
      <c r="J100">
        <v>32317</v>
      </c>
      <c r="K100" s="12">
        <v>0.40941300000000003</v>
      </c>
      <c r="L100" s="12">
        <v>0.91722700000000001</v>
      </c>
      <c r="M100">
        <v>0.79</v>
      </c>
    </row>
    <row r="101" spans="1:13" x14ac:dyDescent="0.35">
      <c r="A101" t="s">
        <v>17</v>
      </c>
      <c r="B101">
        <v>5</v>
      </c>
      <c r="C101" t="s">
        <v>14</v>
      </c>
      <c r="D101">
        <v>4</v>
      </c>
      <c r="E101">
        <v>4</v>
      </c>
      <c r="F101">
        <v>17007</v>
      </c>
      <c r="G101">
        <v>151892</v>
      </c>
      <c r="H101" s="8">
        <v>0.11196771390198298</v>
      </c>
      <c r="I101" s="12">
        <v>5.8798999999999997E-2</v>
      </c>
      <c r="J101">
        <v>50411</v>
      </c>
      <c r="K101" s="12">
        <v>0.35012199999999999</v>
      </c>
      <c r="L101" s="12">
        <v>0.91927099999999995</v>
      </c>
      <c r="M101">
        <v>1.3</v>
      </c>
    </row>
    <row r="102" spans="1:13" x14ac:dyDescent="0.35">
      <c r="A102" t="s">
        <v>18</v>
      </c>
      <c r="B102">
        <v>5</v>
      </c>
      <c r="C102" t="s">
        <v>14</v>
      </c>
      <c r="D102">
        <v>4</v>
      </c>
      <c r="E102">
        <v>4</v>
      </c>
      <c r="F102">
        <v>23056</v>
      </c>
      <c r="G102">
        <v>94215</v>
      </c>
      <c r="H102" s="8">
        <v>0.24471687098657327</v>
      </c>
      <c r="I102" s="12">
        <v>6.8875000000000006E-2</v>
      </c>
      <c r="J102">
        <v>42272</v>
      </c>
      <c r="K102" s="12">
        <v>0.51736400000000005</v>
      </c>
      <c r="L102" s="12">
        <v>0.915829</v>
      </c>
      <c r="M102">
        <v>0.89</v>
      </c>
    </row>
    <row r="103" spans="1:13" x14ac:dyDescent="0.35">
      <c r="A103" t="s">
        <v>19</v>
      </c>
      <c r="B103">
        <v>5</v>
      </c>
      <c r="C103" t="s">
        <v>14</v>
      </c>
      <c r="D103">
        <v>4</v>
      </c>
      <c r="E103">
        <v>4</v>
      </c>
      <c r="F103">
        <v>21810</v>
      </c>
      <c r="G103">
        <v>84333</v>
      </c>
      <c r="H103" s="8">
        <v>0.25861762299455732</v>
      </c>
      <c r="I103" s="12">
        <v>5.9248000000000002E-2</v>
      </c>
      <c r="J103">
        <v>32330</v>
      </c>
      <c r="K103" s="12">
        <v>0.409279</v>
      </c>
      <c r="L103" s="12">
        <v>0.91888899999999996</v>
      </c>
      <c r="M103">
        <v>0.76</v>
      </c>
    </row>
    <row r="104" spans="1:13" x14ac:dyDescent="0.35">
      <c r="A104" t="s">
        <v>20</v>
      </c>
      <c r="B104">
        <v>5</v>
      </c>
      <c r="C104" t="s">
        <v>14</v>
      </c>
      <c r="D104">
        <v>4</v>
      </c>
      <c r="E104">
        <v>4</v>
      </c>
      <c r="F104">
        <v>31077</v>
      </c>
      <c r="G104">
        <v>72908</v>
      </c>
      <c r="H104" s="8">
        <v>0.4262495199429418</v>
      </c>
      <c r="I104" s="12">
        <v>1.3060000000000001E-3</v>
      </c>
      <c r="J104">
        <v>45</v>
      </c>
      <c r="K104" s="12">
        <v>4.4443999999999997E-2</v>
      </c>
      <c r="L104" s="12">
        <v>0.08</v>
      </c>
      <c r="M104">
        <v>0.53</v>
      </c>
    </row>
    <row r="105" spans="1:13" x14ac:dyDescent="0.35">
      <c r="A105" t="s">
        <v>21</v>
      </c>
      <c r="B105">
        <v>5</v>
      </c>
      <c r="C105" t="s">
        <v>14</v>
      </c>
      <c r="D105">
        <v>4</v>
      </c>
      <c r="E105">
        <v>4</v>
      </c>
      <c r="F105">
        <v>26630</v>
      </c>
      <c r="G105">
        <v>87814</v>
      </c>
      <c r="H105" s="8">
        <v>0.30325460632700935</v>
      </c>
      <c r="I105" s="12">
        <v>4.5461000000000001E-2</v>
      </c>
      <c r="J105">
        <v>28939</v>
      </c>
      <c r="K105" s="12">
        <v>0.53263799999999994</v>
      </c>
      <c r="L105" s="12">
        <v>0.91749999999999998</v>
      </c>
      <c r="M105">
        <v>0.81</v>
      </c>
    </row>
    <row r="106" spans="1:13" x14ac:dyDescent="0.35">
      <c r="A106" t="s">
        <v>13</v>
      </c>
      <c r="B106">
        <v>5</v>
      </c>
      <c r="C106" t="s">
        <v>14</v>
      </c>
      <c r="D106">
        <v>4</v>
      </c>
      <c r="E106">
        <v>8</v>
      </c>
      <c r="F106">
        <v>24798</v>
      </c>
      <c r="G106">
        <v>90272</v>
      </c>
      <c r="H106" s="8">
        <v>0.27470311946118398</v>
      </c>
      <c r="I106" s="12">
        <v>0.162075</v>
      </c>
      <c r="J106">
        <v>21500</v>
      </c>
      <c r="K106" s="12">
        <v>0.50497700000000001</v>
      </c>
      <c r="L106" s="12">
        <v>0.76130699999999996</v>
      </c>
      <c r="M106">
        <v>0.71</v>
      </c>
    </row>
    <row r="107" spans="1:13" x14ac:dyDescent="0.35">
      <c r="A107" t="s">
        <v>15</v>
      </c>
      <c r="B107">
        <v>5</v>
      </c>
      <c r="C107" t="s">
        <v>14</v>
      </c>
      <c r="D107">
        <v>4</v>
      </c>
      <c r="E107">
        <v>8</v>
      </c>
      <c r="F107">
        <v>21825</v>
      </c>
      <c r="G107">
        <v>95155</v>
      </c>
      <c r="H107" s="8">
        <v>0.22936261888497714</v>
      </c>
      <c r="I107" s="12">
        <v>0.11201</v>
      </c>
      <c r="J107">
        <v>36284</v>
      </c>
      <c r="K107" s="12">
        <v>0.555948</v>
      </c>
      <c r="L107" s="12">
        <v>0.84050000000000002</v>
      </c>
      <c r="M107">
        <v>0.8</v>
      </c>
    </row>
    <row r="108" spans="1:13" x14ac:dyDescent="0.35">
      <c r="A108" t="s">
        <v>16</v>
      </c>
      <c r="B108">
        <v>5</v>
      </c>
      <c r="C108" t="s">
        <v>14</v>
      </c>
      <c r="D108">
        <v>4</v>
      </c>
      <c r="E108">
        <v>8</v>
      </c>
      <c r="F108">
        <v>18222</v>
      </c>
      <c r="G108">
        <v>98653</v>
      </c>
      <c r="H108" s="8">
        <v>0.18470801698883968</v>
      </c>
      <c r="I108" s="12">
        <v>9.7531000000000007E-2</v>
      </c>
      <c r="J108">
        <v>30120</v>
      </c>
      <c r="K108" s="12">
        <v>0.40873199999999998</v>
      </c>
      <c r="L108" s="12">
        <v>0.85344900000000001</v>
      </c>
      <c r="M108">
        <v>0.78</v>
      </c>
    </row>
    <row r="109" spans="1:13" x14ac:dyDescent="0.35">
      <c r="A109" t="s">
        <v>17</v>
      </c>
      <c r="B109">
        <v>5</v>
      </c>
      <c r="C109" t="s">
        <v>14</v>
      </c>
      <c r="D109">
        <v>4</v>
      </c>
      <c r="E109">
        <v>8</v>
      </c>
      <c r="F109">
        <v>17007</v>
      </c>
      <c r="G109">
        <v>157221</v>
      </c>
      <c r="H109" s="8">
        <v>0.10817257236628694</v>
      </c>
      <c r="I109" s="12">
        <v>9.9196999999999994E-2</v>
      </c>
      <c r="J109">
        <v>47506</v>
      </c>
      <c r="K109" s="12">
        <v>0.34576699999999999</v>
      </c>
      <c r="L109" s="12">
        <v>0.85552099999999998</v>
      </c>
      <c r="M109">
        <v>1.1599999999999999</v>
      </c>
    </row>
    <row r="110" spans="1:13" x14ac:dyDescent="0.35">
      <c r="A110" t="s">
        <v>18</v>
      </c>
      <c r="B110">
        <v>5</v>
      </c>
      <c r="C110" t="s">
        <v>14</v>
      </c>
      <c r="D110">
        <v>4</v>
      </c>
      <c r="E110">
        <v>8</v>
      </c>
      <c r="F110">
        <v>23056</v>
      </c>
      <c r="G110">
        <v>99968</v>
      </c>
      <c r="H110" s="8">
        <v>0.23063380281690141</v>
      </c>
      <c r="I110" s="12">
        <v>0.11211500000000001</v>
      </c>
      <c r="J110">
        <v>41085</v>
      </c>
      <c r="K110" s="12">
        <v>0.49670199999999998</v>
      </c>
      <c r="L110" s="12">
        <v>0.85029200000000005</v>
      </c>
      <c r="M110">
        <v>0.85</v>
      </c>
    </row>
    <row r="111" spans="1:13" x14ac:dyDescent="0.35">
      <c r="A111" t="s">
        <v>19</v>
      </c>
      <c r="B111">
        <v>5</v>
      </c>
      <c r="C111" t="s">
        <v>14</v>
      </c>
      <c r="D111">
        <v>4</v>
      </c>
      <c r="E111">
        <v>8</v>
      </c>
      <c r="F111">
        <v>21810</v>
      </c>
      <c r="G111">
        <v>87776</v>
      </c>
      <c r="H111" s="8">
        <v>0.2484733868027707</v>
      </c>
      <c r="I111" s="12">
        <v>0.101829</v>
      </c>
      <c r="J111">
        <v>30132</v>
      </c>
      <c r="K111" s="12">
        <v>0.40860200000000002</v>
      </c>
      <c r="L111" s="12">
        <v>0.85499999999999998</v>
      </c>
      <c r="M111">
        <v>0.78</v>
      </c>
    </row>
    <row r="112" spans="1:13" x14ac:dyDescent="0.35">
      <c r="A112" t="s">
        <v>20</v>
      </c>
      <c r="B112">
        <v>5</v>
      </c>
      <c r="C112" t="s">
        <v>14</v>
      </c>
      <c r="D112">
        <v>4</v>
      </c>
      <c r="E112">
        <v>8</v>
      </c>
      <c r="F112">
        <v>31077</v>
      </c>
      <c r="G112">
        <v>72855</v>
      </c>
      <c r="H112" s="8">
        <v>0.42655960469425569</v>
      </c>
      <c r="I112" s="12">
        <v>1.333E-3</v>
      </c>
      <c r="J112">
        <v>45</v>
      </c>
      <c r="K112" s="12">
        <v>0</v>
      </c>
      <c r="L112" s="12">
        <v>0</v>
      </c>
      <c r="M112">
        <v>0.53</v>
      </c>
    </row>
    <row r="113" spans="1:13" x14ac:dyDescent="0.35">
      <c r="A113" t="s">
        <v>21</v>
      </c>
      <c r="B113">
        <v>5</v>
      </c>
      <c r="C113" t="s">
        <v>14</v>
      </c>
      <c r="D113">
        <v>4</v>
      </c>
      <c r="E113">
        <v>8</v>
      </c>
      <c r="F113">
        <v>26630</v>
      </c>
      <c r="G113">
        <v>93340</v>
      </c>
      <c r="H113" s="8">
        <v>0.28530104992500538</v>
      </c>
      <c r="I113" s="12">
        <v>7.8015000000000001E-2</v>
      </c>
      <c r="J113">
        <v>27396</v>
      </c>
      <c r="K113" s="12">
        <v>0.52270399999999995</v>
      </c>
      <c r="L113" s="12">
        <v>0.85238100000000006</v>
      </c>
      <c r="M113">
        <v>0.83</v>
      </c>
    </row>
    <row r="114" spans="1:13" x14ac:dyDescent="0.35">
      <c r="A114" t="s">
        <v>13</v>
      </c>
      <c r="B114">
        <v>5</v>
      </c>
      <c r="C114" t="s">
        <v>14</v>
      </c>
      <c r="D114">
        <v>4</v>
      </c>
      <c r="E114">
        <v>16</v>
      </c>
      <c r="F114">
        <v>24798</v>
      </c>
      <c r="G114">
        <v>104616</v>
      </c>
      <c r="H114" s="8">
        <v>0.23703831153934388</v>
      </c>
      <c r="I114" s="12">
        <v>0.44728200000000001</v>
      </c>
      <c r="J114">
        <v>13113</v>
      </c>
      <c r="K114" s="12">
        <v>0.62274099999999999</v>
      </c>
      <c r="L114" s="12">
        <v>0.56645400000000001</v>
      </c>
      <c r="M114">
        <v>0.77</v>
      </c>
    </row>
    <row r="115" spans="1:13" x14ac:dyDescent="0.35">
      <c r="A115" t="s">
        <v>15</v>
      </c>
      <c r="B115">
        <v>5</v>
      </c>
      <c r="C115" t="s">
        <v>14</v>
      </c>
      <c r="D115">
        <v>4</v>
      </c>
      <c r="E115">
        <v>16</v>
      </c>
      <c r="F115">
        <v>21825</v>
      </c>
      <c r="G115">
        <v>106354</v>
      </c>
      <c r="H115" s="8">
        <v>0.20521089944900991</v>
      </c>
      <c r="I115" s="12">
        <v>0.197687</v>
      </c>
      <c r="J115">
        <v>34039</v>
      </c>
      <c r="K115" s="12">
        <v>0.51261800000000002</v>
      </c>
      <c r="L115" s="12">
        <v>0.72704199999999997</v>
      </c>
      <c r="M115">
        <v>1.08</v>
      </c>
    </row>
    <row r="116" spans="1:13" x14ac:dyDescent="0.35">
      <c r="A116" t="s">
        <v>16</v>
      </c>
      <c r="B116">
        <v>5</v>
      </c>
      <c r="C116" t="s">
        <v>14</v>
      </c>
      <c r="D116">
        <v>4</v>
      </c>
      <c r="E116">
        <v>16</v>
      </c>
      <c r="F116">
        <v>18222</v>
      </c>
      <c r="G116">
        <v>105605</v>
      </c>
      <c r="H116" s="8">
        <v>0.17254864826476018</v>
      </c>
      <c r="I116" s="12">
        <v>0.17879600000000001</v>
      </c>
      <c r="J116">
        <v>25973</v>
      </c>
      <c r="K116" s="12">
        <v>0.40326499999999998</v>
      </c>
      <c r="L116" s="12">
        <v>0.726101</v>
      </c>
      <c r="M116">
        <v>0.77</v>
      </c>
    </row>
    <row r="117" spans="1:13" x14ac:dyDescent="0.35">
      <c r="A117" t="s">
        <v>17</v>
      </c>
      <c r="B117">
        <v>5</v>
      </c>
      <c r="C117" t="s">
        <v>14</v>
      </c>
      <c r="D117">
        <v>4</v>
      </c>
      <c r="E117">
        <v>16</v>
      </c>
      <c r="F117">
        <v>17007</v>
      </c>
      <c r="G117">
        <v>167477</v>
      </c>
      <c r="H117" s="8">
        <v>0.10154827230007703</v>
      </c>
      <c r="I117" s="12">
        <v>0.180502</v>
      </c>
      <c r="J117">
        <v>41572</v>
      </c>
      <c r="K117" s="12">
        <v>0.33628400000000003</v>
      </c>
      <c r="L117" s="12">
        <v>0.72812500000000002</v>
      </c>
      <c r="M117">
        <v>1.1599999999999999</v>
      </c>
    </row>
    <row r="118" spans="1:13" x14ac:dyDescent="0.35">
      <c r="A118" t="s">
        <v>18</v>
      </c>
      <c r="B118">
        <v>5</v>
      </c>
      <c r="C118" t="s">
        <v>14</v>
      </c>
      <c r="D118">
        <v>4</v>
      </c>
      <c r="E118">
        <v>16</v>
      </c>
      <c r="F118">
        <v>23056</v>
      </c>
      <c r="G118">
        <v>108392</v>
      </c>
      <c r="H118" s="8">
        <v>0.21270942504981918</v>
      </c>
      <c r="I118" s="12">
        <v>0.202844</v>
      </c>
      <c r="J118">
        <v>34674</v>
      </c>
      <c r="K118" s="12">
        <v>0.49968299999999999</v>
      </c>
      <c r="L118" s="12">
        <v>0.72191700000000003</v>
      </c>
      <c r="M118">
        <v>0.87</v>
      </c>
    </row>
    <row r="119" spans="1:13" x14ac:dyDescent="0.35">
      <c r="A119" t="s">
        <v>19</v>
      </c>
      <c r="B119">
        <v>5</v>
      </c>
      <c r="C119" t="s">
        <v>14</v>
      </c>
      <c r="D119">
        <v>4</v>
      </c>
      <c r="E119">
        <v>16</v>
      </c>
      <c r="F119">
        <v>21810</v>
      </c>
      <c r="G119">
        <v>94374</v>
      </c>
      <c r="H119" s="8">
        <v>0.23110178650899613</v>
      </c>
      <c r="I119" s="12">
        <v>0.187164</v>
      </c>
      <c r="J119">
        <v>25621</v>
      </c>
      <c r="K119" s="12">
        <v>0.40880499999999997</v>
      </c>
      <c r="L119" s="12">
        <v>0.72736100000000004</v>
      </c>
      <c r="M119">
        <v>0.79</v>
      </c>
    </row>
    <row r="120" spans="1:13" x14ac:dyDescent="0.35">
      <c r="A120" t="s">
        <v>20</v>
      </c>
      <c r="B120">
        <v>5</v>
      </c>
      <c r="C120" t="s">
        <v>14</v>
      </c>
      <c r="D120">
        <v>4</v>
      </c>
      <c r="E120">
        <v>16</v>
      </c>
      <c r="F120">
        <v>31077</v>
      </c>
      <c r="G120">
        <v>72855</v>
      </c>
      <c r="H120" s="8">
        <v>0.42655960469425569</v>
      </c>
      <c r="I120" s="12">
        <v>1.333E-3</v>
      </c>
      <c r="J120">
        <v>42</v>
      </c>
      <c r="K120" s="12">
        <v>0</v>
      </c>
      <c r="L120" s="12">
        <v>0</v>
      </c>
      <c r="M120">
        <v>0.56000000000000005</v>
      </c>
    </row>
    <row r="121" spans="1:13" x14ac:dyDescent="0.35">
      <c r="A121" t="s">
        <v>21</v>
      </c>
      <c r="B121">
        <v>5</v>
      </c>
      <c r="C121" t="s">
        <v>14</v>
      </c>
      <c r="D121">
        <v>4</v>
      </c>
      <c r="E121">
        <v>16</v>
      </c>
      <c r="F121">
        <v>26630</v>
      </c>
      <c r="G121">
        <v>101513</v>
      </c>
      <c r="H121" s="8">
        <v>0.26233093298395277</v>
      </c>
      <c r="I121" s="12">
        <v>0.13736799999999999</v>
      </c>
      <c r="J121">
        <v>23492</v>
      </c>
      <c r="K121" s="12">
        <v>0.51728200000000002</v>
      </c>
      <c r="L121" s="12">
        <v>0.723333</v>
      </c>
      <c r="M121">
        <v>0.81</v>
      </c>
    </row>
    <row r="122" spans="1:13" x14ac:dyDescent="0.35">
      <c r="A122" t="s">
        <v>13</v>
      </c>
      <c r="B122">
        <v>5</v>
      </c>
      <c r="C122" t="s">
        <v>14</v>
      </c>
      <c r="D122">
        <v>4</v>
      </c>
      <c r="E122">
        <v>32</v>
      </c>
      <c r="F122">
        <v>24798</v>
      </c>
      <c r="G122">
        <v>109837</v>
      </c>
      <c r="H122" s="8">
        <v>0.22577091508325975</v>
      </c>
      <c r="I122" s="12">
        <v>0.51652399999999998</v>
      </c>
      <c r="J122">
        <v>8613</v>
      </c>
      <c r="K122" s="12">
        <v>0.616394</v>
      </c>
      <c r="L122" s="12">
        <v>0.36816900000000002</v>
      </c>
      <c r="M122">
        <v>0.72</v>
      </c>
    </row>
    <row r="123" spans="1:13" x14ac:dyDescent="0.35">
      <c r="A123" t="s">
        <v>15</v>
      </c>
      <c r="B123">
        <v>5</v>
      </c>
      <c r="C123" t="s">
        <v>14</v>
      </c>
      <c r="D123">
        <v>4</v>
      </c>
      <c r="E123">
        <v>32</v>
      </c>
      <c r="F123">
        <v>21825</v>
      </c>
      <c r="G123">
        <v>124278</v>
      </c>
      <c r="H123" s="8">
        <v>0.17561434847680202</v>
      </c>
      <c r="I123" s="12">
        <v>0.37838500000000003</v>
      </c>
      <c r="J123">
        <v>22898</v>
      </c>
      <c r="K123" s="12">
        <v>0.49952000000000002</v>
      </c>
      <c r="L123" s="12">
        <v>0.47658299999999998</v>
      </c>
      <c r="M123">
        <v>0.8</v>
      </c>
    </row>
    <row r="124" spans="1:13" x14ac:dyDescent="0.35">
      <c r="A124" t="s">
        <v>16</v>
      </c>
      <c r="B124">
        <v>5</v>
      </c>
      <c r="C124" t="s">
        <v>14</v>
      </c>
      <c r="D124">
        <v>4</v>
      </c>
      <c r="E124">
        <v>32</v>
      </c>
      <c r="F124">
        <v>18222</v>
      </c>
      <c r="G124">
        <v>117722</v>
      </c>
      <c r="H124" s="8">
        <v>0.1547883997893342</v>
      </c>
      <c r="I124" s="12">
        <v>0.34</v>
      </c>
      <c r="J124">
        <v>18964</v>
      </c>
      <c r="K124" s="12">
        <v>0.36057800000000001</v>
      </c>
      <c r="L124" s="12">
        <v>0.47403800000000001</v>
      </c>
      <c r="M124">
        <v>0.8</v>
      </c>
    </row>
    <row r="125" spans="1:13" x14ac:dyDescent="0.35">
      <c r="A125" t="s">
        <v>17</v>
      </c>
      <c r="B125">
        <v>5</v>
      </c>
      <c r="C125" t="s">
        <v>14</v>
      </c>
      <c r="D125">
        <v>4</v>
      </c>
      <c r="E125">
        <v>32</v>
      </c>
      <c r="F125">
        <v>17007</v>
      </c>
      <c r="G125">
        <v>186362</v>
      </c>
      <c r="H125" s="8">
        <v>9.1257874459385491E-2</v>
      </c>
      <c r="I125" s="12">
        <v>0.34146399999999999</v>
      </c>
      <c r="J125">
        <v>30330</v>
      </c>
      <c r="K125" s="12">
        <v>0.301286</v>
      </c>
      <c r="L125" s="12">
        <v>0.47593800000000003</v>
      </c>
      <c r="M125">
        <v>0.32</v>
      </c>
    </row>
    <row r="126" spans="1:13" x14ac:dyDescent="0.35">
      <c r="A126" t="s">
        <v>18</v>
      </c>
      <c r="B126">
        <v>5</v>
      </c>
      <c r="C126" t="s">
        <v>14</v>
      </c>
      <c r="D126">
        <v>4</v>
      </c>
      <c r="E126">
        <v>32</v>
      </c>
      <c r="F126">
        <v>23056</v>
      </c>
      <c r="G126">
        <v>119687</v>
      </c>
      <c r="H126" s="8">
        <v>0.1926357916899914</v>
      </c>
      <c r="I126" s="12">
        <v>0.36662499999999998</v>
      </c>
      <c r="J126">
        <v>22103</v>
      </c>
      <c r="K126" s="12">
        <v>0.51278100000000004</v>
      </c>
      <c r="L126" s="12">
        <v>0.47225</v>
      </c>
      <c r="M126">
        <v>0.89</v>
      </c>
    </row>
    <row r="127" spans="1:13" x14ac:dyDescent="0.35">
      <c r="A127" t="s">
        <v>19</v>
      </c>
      <c r="B127">
        <v>5</v>
      </c>
      <c r="C127" t="s">
        <v>14</v>
      </c>
      <c r="D127">
        <v>4</v>
      </c>
      <c r="E127">
        <v>32</v>
      </c>
      <c r="F127">
        <v>21810</v>
      </c>
      <c r="G127">
        <v>105688</v>
      </c>
      <c r="H127" s="8">
        <v>0.20636212247369617</v>
      </c>
      <c r="I127" s="12">
        <v>0.359375</v>
      </c>
      <c r="J127">
        <v>18630</v>
      </c>
      <c r="K127" s="12">
        <v>0.36704199999999998</v>
      </c>
      <c r="L127" s="12">
        <v>0.47486099999999998</v>
      </c>
      <c r="M127">
        <v>0.75</v>
      </c>
    </row>
    <row r="128" spans="1:13" x14ac:dyDescent="0.35">
      <c r="A128" t="s">
        <v>20</v>
      </c>
      <c r="B128">
        <v>5</v>
      </c>
      <c r="C128" t="s">
        <v>14</v>
      </c>
      <c r="D128">
        <v>4</v>
      </c>
      <c r="E128">
        <v>32</v>
      </c>
      <c r="F128">
        <v>31077</v>
      </c>
      <c r="G128">
        <v>72847</v>
      </c>
      <c r="H128" s="8">
        <v>0.42660644913311463</v>
      </c>
      <c r="I128" s="12">
        <v>1.361E-3</v>
      </c>
      <c r="J128">
        <v>12</v>
      </c>
      <c r="K128" s="12">
        <v>0</v>
      </c>
      <c r="L128" s="12">
        <v>0</v>
      </c>
      <c r="M128">
        <v>0.54</v>
      </c>
    </row>
    <row r="129" spans="1:13" x14ac:dyDescent="0.35">
      <c r="A129" t="s">
        <v>21</v>
      </c>
      <c r="B129">
        <v>5</v>
      </c>
      <c r="C129" t="s">
        <v>14</v>
      </c>
      <c r="D129">
        <v>4</v>
      </c>
      <c r="E129">
        <v>32</v>
      </c>
      <c r="F129">
        <v>26630</v>
      </c>
      <c r="G129">
        <v>109798</v>
      </c>
      <c r="H129" s="8">
        <v>0.24253629392156506</v>
      </c>
      <c r="I129" s="12">
        <v>0.26074599999999998</v>
      </c>
      <c r="J129">
        <v>15085</v>
      </c>
      <c r="K129" s="12">
        <v>0.52436199999999999</v>
      </c>
      <c r="L129" s="12">
        <v>0.470833</v>
      </c>
      <c r="M129">
        <v>0.83</v>
      </c>
    </row>
    <row r="130" spans="1:13" x14ac:dyDescent="0.35">
      <c r="A130" t="s">
        <v>13</v>
      </c>
      <c r="B130">
        <v>10</v>
      </c>
      <c r="C130" t="s">
        <v>14</v>
      </c>
      <c r="D130">
        <v>4</v>
      </c>
      <c r="E130">
        <v>0</v>
      </c>
      <c r="F130">
        <v>49513</v>
      </c>
      <c r="G130">
        <v>192711</v>
      </c>
      <c r="H130" s="8">
        <v>0.25692876898568323</v>
      </c>
      <c r="I130" s="12">
        <v>0.349854</v>
      </c>
      <c r="J130">
        <v>29898</v>
      </c>
      <c r="K130" s="12">
        <v>0.42136600000000002</v>
      </c>
      <c r="L130" s="12">
        <v>0.478466</v>
      </c>
      <c r="M130">
        <v>1.36</v>
      </c>
    </row>
    <row r="131" spans="1:13" x14ac:dyDescent="0.35">
      <c r="A131" t="s">
        <v>15</v>
      </c>
      <c r="B131">
        <v>10</v>
      </c>
      <c r="C131" t="s">
        <v>14</v>
      </c>
      <c r="D131">
        <v>4</v>
      </c>
      <c r="E131">
        <v>0</v>
      </c>
      <c r="F131">
        <v>43580</v>
      </c>
      <c r="G131">
        <v>179853</v>
      </c>
      <c r="H131" s="8">
        <v>0.24230899679182444</v>
      </c>
      <c r="I131" s="12">
        <v>0.100115</v>
      </c>
      <c r="J131">
        <v>51852</v>
      </c>
      <c r="K131" s="12">
        <v>0.65156599999999998</v>
      </c>
      <c r="L131" s="12">
        <v>0.932257</v>
      </c>
      <c r="M131">
        <v>1.42</v>
      </c>
    </row>
    <row r="132" spans="1:13" x14ac:dyDescent="0.35">
      <c r="A132" t="s">
        <v>16</v>
      </c>
      <c r="B132">
        <v>10</v>
      </c>
      <c r="C132" t="s">
        <v>14</v>
      </c>
      <c r="D132">
        <v>4</v>
      </c>
      <c r="E132">
        <v>0</v>
      </c>
      <c r="F132">
        <v>36372</v>
      </c>
      <c r="G132">
        <v>183117</v>
      </c>
      <c r="H132" s="8">
        <v>0.19862710725929325</v>
      </c>
      <c r="I132" s="12">
        <v>2.8274000000000001E-2</v>
      </c>
      <c r="J132">
        <v>55143</v>
      </c>
      <c r="K132" s="12">
        <v>0.50040799999999996</v>
      </c>
      <c r="L132" s="12">
        <v>0.96485900000000002</v>
      </c>
      <c r="M132">
        <v>1.34</v>
      </c>
    </row>
    <row r="133" spans="1:13" x14ac:dyDescent="0.35">
      <c r="A133" t="s">
        <v>17</v>
      </c>
      <c r="B133">
        <v>10</v>
      </c>
      <c r="C133" t="s">
        <v>14</v>
      </c>
      <c r="D133">
        <v>4</v>
      </c>
      <c r="E133">
        <v>0</v>
      </c>
      <c r="F133">
        <v>33942</v>
      </c>
      <c r="G133">
        <v>292787</v>
      </c>
      <c r="H133" s="8">
        <v>0.11592727819199623</v>
      </c>
      <c r="I133" s="12">
        <v>2.9519E-2</v>
      </c>
      <c r="J133">
        <v>93283</v>
      </c>
      <c r="K133" s="12">
        <v>0.394316</v>
      </c>
      <c r="L133" s="12">
        <v>0.97004100000000004</v>
      </c>
      <c r="M133">
        <v>2.12</v>
      </c>
    </row>
    <row r="134" spans="1:13" x14ac:dyDescent="0.35">
      <c r="A134" t="s">
        <v>18</v>
      </c>
      <c r="B134">
        <v>10</v>
      </c>
      <c r="C134" t="s">
        <v>14</v>
      </c>
      <c r="D134">
        <v>4</v>
      </c>
      <c r="E134">
        <v>0</v>
      </c>
      <c r="F134">
        <v>46021</v>
      </c>
      <c r="G134">
        <v>179821</v>
      </c>
      <c r="H134" s="8">
        <v>0.25592672713420567</v>
      </c>
      <c r="I134" s="12">
        <v>3.8031000000000002E-2</v>
      </c>
      <c r="J134">
        <v>57068</v>
      </c>
      <c r="K134" s="12">
        <v>0.75874399999999997</v>
      </c>
      <c r="L134" s="12">
        <v>0.95265299999999997</v>
      </c>
      <c r="M134">
        <v>1.56</v>
      </c>
    </row>
    <row r="135" spans="1:13" x14ac:dyDescent="0.35">
      <c r="A135" t="s">
        <v>19</v>
      </c>
      <c r="B135">
        <v>10</v>
      </c>
      <c r="C135" t="s">
        <v>14</v>
      </c>
      <c r="D135">
        <v>4</v>
      </c>
      <c r="E135">
        <v>0</v>
      </c>
      <c r="F135">
        <v>43550</v>
      </c>
      <c r="G135">
        <v>161782</v>
      </c>
      <c r="H135" s="8">
        <v>0.26918940302382216</v>
      </c>
      <c r="I135" s="12">
        <v>2.9322999999999998E-2</v>
      </c>
      <c r="J135">
        <v>55249</v>
      </c>
      <c r="K135" s="12">
        <v>0.49946600000000002</v>
      </c>
      <c r="L135" s="12">
        <v>0.96655000000000002</v>
      </c>
      <c r="M135">
        <v>1.29</v>
      </c>
    </row>
    <row r="136" spans="1:13" x14ac:dyDescent="0.35">
      <c r="A136" t="s">
        <v>20</v>
      </c>
      <c r="B136">
        <v>10</v>
      </c>
      <c r="C136" t="s">
        <v>14</v>
      </c>
      <c r="D136">
        <v>4</v>
      </c>
      <c r="E136">
        <v>0</v>
      </c>
      <c r="F136">
        <v>62077</v>
      </c>
      <c r="G136">
        <v>145375</v>
      </c>
      <c r="H136" s="8">
        <v>0.42701289767841788</v>
      </c>
      <c r="I136" s="12">
        <v>3.9599999999999998E-4</v>
      </c>
      <c r="J136">
        <v>20</v>
      </c>
      <c r="K136" s="12">
        <v>0.55000000000000004</v>
      </c>
      <c r="L136" s="12">
        <v>0.44</v>
      </c>
      <c r="M136">
        <v>0.92</v>
      </c>
    </row>
    <row r="137" spans="1:13" x14ac:dyDescent="0.35">
      <c r="A137" t="s">
        <v>21</v>
      </c>
      <c r="B137">
        <v>10</v>
      </c>
      <c r="C137" t="s">
        <v>14</v>
      </c>
      <c r="D137">
        <v>4</v>
      </c>
      <c r="E137">
        <v>0</v>
      </c>
      <c r="F137">
        <v>53190</v>
      </c>
      <c r="G137">
        <v>168834</v>
      </c>
      <c r="H137" s="8">
        <v>0.31504317850669888</v>
      </c>
      <c r="I137" s="12">
        <v>1.6633999999999999E-2</v>
      </c>
      <c r="J137">
        <v>38406</v>
      </c>
      <c r="K137" s="12">
        <v>0.83544200000000002</v>
      </c>
      <c r="L137" s="12">
        <v>0.95494000000000001</v>
      </c>
      <c r="M137">
        <v>1.4</v>
      </c>
    </row>
    <row r="138" spans="1:13" x14ac:dyDescent="0.35">
      <c r="A138" t="s">
        <v>13</v>
      </c>
      <c r="B138">
        <v>10</v>
      </c>
      <c r="C138" t="s">
        <v>14</v>
      </c>
      <c r="D138">
        <v>16</v>
      </c>
      <c r="E138">
        <v>0</v>
      </c>
      <c r="F138">
        <v>49513</v>
      </c>
      <c r="G138">
        <v>158767</v>
      </c>
      <c r="H138" s="8">
        <v>0.31185951740601009</v>
      </c>
      <c r="I138" s="12">
        <v>6.4788999999999999E-2</v>
      </c>
      <c r="J138">
        <v>123952</v>
      </c>
      <c r="K138" s="12">
        <v>0.194551</v>
      </c>
      <c r="L138" s="12">
        <v>0.87376399999999999</v>
      </c>
      <c r="M138">
        <v>1.38</v>
      </c>
    </row>
    <row r="139" spans="1:13" x14ac:dyDescent="0.35">
      <c r="A139" t="s">
        <v>15</v>
      </c>
      <c r="B139">
        <v>10</v>
      </c>
      <c r="C139" t="s">
        <v>14</v>
      </c>
      <c r="D139">
        <v>16</v>
      </c>
      <c r="E139">
        <v>0</v>
      </c>
      <c r="F139">
        <v>43580</v>
      </c>
      <c r="G139">
        <v>198453</v>
      </c>
      <c r="H139" s="8">
        <v>0.2195985951333565</v>
      </c>
      <c r="I139" s="12">
        <v>0.106797</v>
      </c>
      <c r="J139">
        <v>130470</v>
      </c>
      <c r="K139" s="12">
        <v>0.27662300000000001</v>
      </c>
      <c r="L139" s="12">
        <v>0.75858099999999995</v>
      </c>
      <c r="M139">
        <v>1.52</v>
      </c>
    </row>
    <row r="140" spans="1:13" x14ac:dyDescent="0.35">
      <c r="A140" t="s">
        <v>16</v>
      </c>
      <c r="B140">
        <v>10</v>
      </c>
      <c r="C140" t="s">
        <v>14</v>
      </c>
      <c r="D140">
        <v>16</v>
      </c>
      <c r="E140">
        <v>0</v>
      </c>
      <c r="F140">
        <v>36372</v>
      </c>
      <c r="G140">
        <v>186160</v>
      </c>
      <c r="H140" s="8">
        <v>0.19538031800601632</v>
      </c>
      <c r="I140" s="12">
        <v>3.5338000000000001E-2</v>
      </c>
      <c r="J140">
        <v>182589</v>
      </c>
      <c r="K140" s="12">
        <v>0.15026600000000001</v>
      </c>
      <c r="L140" s="12">
        <v>0.95626</v>
      </c>
      <c r="M140">
        <v>1.43</v>
      </c>
    </row>
    <row r="141" spans="1:13" x14ac:dyDescent="0.35">
      <c r="A141" t="s">
        <v>17</v>
      </c>
      <c r="B141">
        <v>10</v>
      </c>
      <c r="C141" t="s">
        <v>14</v>
      </c>
      <c r="D141">
        <v>16</v>
      </c>
      <c r="E141">
        <v>0</v>
      </c>
      <c r="F141">
        <v>33942</v>
      </c>
      <c r="G141">
        <v>297402</v>
      </c>
      <c r="H141" s="8">
        <v>0.11412835152419956</v>
      </c>
      <c r="I141" s="12">
        <v>3.6549999999999999E-2</v>
      </c>
      <c r="J141">
        <v>312344</v>
      </c>
      <c r="K141" s="12">
        <v>0.116663</v>
      </c>
      <c r="L141" s="12">
        <v>0.95740899999999995</v>
      </c>
      <c r="M141">
        <v>2.19</v>
      </c>
    </row>
    <row r="142" spans="1:13" x14ac:dyDescent="0.35">
      <c r="A142" t="s">
        <v>18</v>
      </c>
      <c r="B142">
        <v>10</v>
      </c>
      <c r="C142" t="s">
        <v>14</v>
      </c>
      <c r="D142">
        <v>16</v>
      </c>
      <c r="E142">
        <v>0</v>
      </c>
      <c r="F142">
        <v>46021</v>
      </c>
      <c r="G142">
        <v>197280</v>
      </c>
      <c r="H142" s="8">
        <v>0.23327757502027574</v>
      </c>
      <c r="I142" s="12">
        <v>8.4193000000000004E-2</v>
      </c>
      <c r="J142">
        <v>156716</v>
      </c>
      <c r="K142" s="12">
        <v>0.26118599999999997</v>
      </c>
      <c r="L142" s="12">
        <v>0.86694599999999999</v>
      </c>
      <c r="M142">
        <v>1.62</v>
      </c>
    </row>
    <row r="143" spans="1:13" x14ac:dyDescent="0.35">
      <c r="A143" t="s">
        <v>19</v>
      </c>
      <c r="B143">
        <v>10</v>
      </c>
      <c r="C143" t="s">
        <v>14</v>
      </c>
      <c r="D143">
        <v>16</v>
      </c>
      <c r="E143">
        <v>0</v>
      </c>
      <c r="F143">
        <v>43550</v>
      </c>
      <c r="G143">
        <v>164784</v>
      </c>
      <c r="H143" s="8">
        <v>0.26428536751140885</v>
      </c>
      <c r="I143" s="12">
        <v>3.7713999999999998E-2</v>
      </c>
      <c r="J143">
        <v>177935</v>
      </c>
      <c r="K143" s="12">
        <v>0.15410699999999999</v>
      </c>
      <c r="L143" s="12">
        <v>0.95817300000000005</v>
      </c>
      <c r="M143">
        <v>1.41</v>
      </c>
    </row>
    <row r="144" spans="1:13" x14ac:dyDescent="0.35">
      <c r="A144" t="s">
        <v>20</v>
      </c>
      <c r="B144">
        <v>10</v>
      </c>
      <c r="C144" t="s">
        <v>14</v>
      </c>
      <c r="D144">
        <v>16</v>
      </c>
      <c r="E144">
        <v>0</v>
      </c>
      <c r="F144">
        <v>62077</v>
      </c>
      <c r="G144">
        <v>145420</v>
      </c>
      <c r="H144" s="8">
        <v>0.42688075918030532</v>
      </c>
      <c r="I144" s="12">
        <v>6.8099999999999996E-4</v>
      </c>
      <c r="J144">
        <v>64</v>
      </c>
      <c r="K144" s="12">
        <v>0.109375</v>
      </c>
      <c r="L144" s="12">
        <v>0.28000000000000003</v>
      </c>
      <c r="M144">
        <v>0.95</v>
      </c>
    </row>
    <row r="145" spans="1:13" x14ac:dyDescent="0.35">
      <c r="A145" t="s">
        <v>21</v>
      </c>
      <c r="B145">
        <v>10</v>
      </c>
      <c r="C145" t="s">
        <v>14</v>
      </c>
      <c r="D145">
        <v>16</v>
      </c>
      <c r="E145">
        <v>0</v>
      </c>
      <c r="F145">
        <v>53190</v>
      </c>
      <c r="G145">
        <v>171887</v>
      </c>
      <c r="H145" s="8">
        <v>0.30944748584826076</v>
      </c>
      <c r="I145" s="12">
        <v>2.8289000000000002E-2</v>
      </c>
      <c r="J145">
        <v>112666</v>
      </c>
      <c r="K145" s="12">
        <v>0.26591900000000002</v>
      </c>
      <c r="L145" s="12">
        <v>0.919103</v>
      </c>
      <c r="M145">
        <v>1.53</v>
      </c>
    </row>
    <row r="146" spans="1:13" x14ac:dyDescent="0.35">
      <c r="A146" t="s">
        <v>13</v>
      </c>
      <c r="B146">
        <v>10</v>
      </c>
      <c r="C146" t="s">
        <v>14</v>
      </c>
      <c r="D146">
        <v>32</v>
      </c>
      <c r="E146">
        <v>0</v>
      </c>
      <c r="F146">
        <v>49513</v>
      </c>
      <c r="G146">
        <v>159435</v>
      </c>
      <c r="H146" s="8">
        <v>0.31055288989243263</v>
      </c>
      <c r="I146" s="12">
        <v>6.9041000000000005E-2</v>
      </c>
      <c r="J146">
        <v>142663</v>
      </c>
      <c r="K146" s="12">
        <v>0.17136899999999999</v>
      </c>
      <c r="L146" s="12">
        <v>0.86867499999999997</v>
      </c>
      <c r="M146">
        <v>1.45</v>
      </c>
    </row>
    <row r="147" spans="1:13" x14ac:dyDescent="0.35">
      <c r="A147" t="s">
        <v>15</v>
      </c>
      <c r="B147">
        <v>10</v>
      </c>
      <c r="C147" t="s">
        <v>14</v>
      </c>
      <c r="D147">
        <v>32</v>
      </c>
      <c r="E147">
        <v>0</v>
      </c>
      <c r="F147">
        <v>43580</v>
      </c>
      <c r="G147">
        <v>213854</v>
      </c>
      <c r="H147" s="8">
        <v>0.20378388994360638</v>
      </c>
      <c r="I147" s="12">
        <v>0.114547</v>
      </c>
      <c r="J147">
        <v>163511</v>
      </c>
      <c r="K147" s="12">
        <v>0.188501</v>
      </c>
      <c r="L147" s="12">
        <v>0.64381500000000003</v>
      </c>
      <c r="M147">
        <v>1.56</v>
      </c>
    </row>
    <row r="148" spans="1:13" x14ac:dyDescent="0.35">
      <c r="A148" t="s">
        <v>16</v>
      </c>
      <c r="B148">
        <v>10</v>
      </c>
      <c r="C148" t="s">
        <v>14</v>
      </c>
      <c r="D148">
        <v>32</v>
      </c>
      <c r="E148">
        <v>0</v>
      </c>
      <c r="F148">
        <v>36372</v>
      </c>
      <c r="G148">
        <v>186361</v>
      </c>
      <c r="H148" s="8">
        <v>0.19516959020395899</v>
      </c>
      <c r="I148" s="12">
        <v>3.3480999999999997E-2</v>
      </c>
      <c r="J148">
        <v>234755</v>
      </c>
      <c r="K148" s="12">
        <v>0.11662400000000001</v>
      </c>
      <c r="L148" s="12">
        <v>0.95284199999999997</v>
      </c>
      <c r="M148">
        <v>1.62</v>
      </c>
    </row>
    <row r="149" spans="1:13" x14ac:dyDescent="0.35">
      <c r="A149" t="s">
        <v>17</v>
      </c>
      <c r="B149">
        <v>10</v>
      </c>
      <c r="C149" t="s">
        <v>14</v>
      </c>
      <c r="D149">
        <v>32</v>
      </c>
      <c r="E149">
        <v>0</v>
      </c>
      <c r="F149">
        <v>33942</v>
      </c>
      <c r="G149">
        <v>305918</v>
      </c>
      <c r="H149" s="8">
        <v>0.11095130067534437</v>
      </c>
      <c r="I149" s="12">
        <v>3.9709000000000001E-2</v>
      </c>
      <c r="J149">
        <v>437345</v>
      </c>
      <c r="K149" s="12">
        <v>7.7748999999999999E-2</v>
      </c>
      <c r="L149" s="12">
        <v>0.89741400000000004</v>
      </c>
      <c r="M149">
        <v>2.4500000000000002</v>
      </c>
    </row>
    <row r="150" spans="1:13" x14ac:dyDescent="0.35">
      <c r="A150" t="s">
        <v>18</v>
      </c>
      <c r="B150">
        <v>10</v>
      </c>
      <c r="C150" t="s">
        <v>14</v>
      </c>
      <c r="D150">
        <v>32</v>
      </c>
      <c r="E150">
        <v>0</v>
      </c>
      <c r="F150">
        <v>46021</v>
      </c>
      <c r="G150">
        <v>217156</v>
      </c>
      <c r="H150" s="8">
        <v>0.21192598869015822</v>
      </c>
      <c r="I150" s="12">
        <v>0.114437</v>
      </c>
      <c r="J150">
        <v>233290</v>
      </c>
      <c r="K150" s="12">
        <v>0.13908000000000001</v>
      </c>
      <c r="L150" s="12">
        <v>0.67958300000000005</v>
      </c>
      <c r="M150">
        <v>1.81</v>
      </c>
    </row>
    <row r="151" spans="1:13" x14ac:dyDescent="0.35">
      <c r="A151" t="s">
        <v>19</v>
      </c>
      <c r="B151">
        <v>10</v>
      </c>
      <c r="C151" t="s">
        <v>14</v>
      </c>
      <c r="D151">
        <v>32</v>
      </c>
      <c r="E151">
        <v>0</v>
      </c>
      <c r="F151">
        <v>43550</v>
      </c>
      <c r="G151">
        <v>184709</v>
      </c>
      <c r="H151" s="8">
        <v>0.2357762751138277</v>
      </c>
      <c r="I151" s="12">
        <v>6.1249999999999999E-2</v>
      </c>
      <c r="J151">
        <v>258189</v>
      </c>
      <c r="K151" s="12">
        <v>8.7936E-2</v>
      </c>
      <c r="L151" s="12">
        <v>0.79212899999999997</v>
      </c>
      <c r="M151">
        <v>1.48</v>
      </c>
    </row>
    <row r="152" spans="1:13" x14ac:dyDescent="0.35">
      <c r="A152" t="s">
        <v>20</v>
      </c>
      <c r="B152">
        <v>10</v>
      </c>
      <c r="C152" t="s">
        <v>14</v>
      </c>
      <c r="D152">
        <v>32</v>
      </c>
      <c r="E152">
        <v>0</v>
      </c>
      <c r="F152">
        <v>62077</v>
      </c>
      <c r="G152">
        <v>145412</v>
      </c>
      <c r="H152" s="8">
        <v>0.42690424449151376</v>
      </c>
      <c r="I152" s="12">
        <v>7.0799999999999997E-4</v>
      </c>
      <c r="J152">
        <v>64</v>
      </c>
      <c r="K152" s="12">
        <v>6.25E-2</v>
      </c>
      <c r="L152" s="12">
        <v>0.16</v>
      </c>
      <c r="M152">
        <v>0.98</v>
      </c>
    </row>
    <row r="153" spans="1:13" x14ac:dyDescent="0.35">
      <c r="A153" t="s">
        <v>21</v>
      </c>
      <c r="B153">
        <v>10</v>
      </c>
      <c r="C153" t="s">
        <v>14</v>
      </c>
      <c r="D153">
        <v>32</v>
      </c>
      <c r="E153">
        <v>0</v>
      </c>
      <c r="F153">
        <v>53190</v>
      </c>
      <c r="G153">
        <v>182494</v>
      </c>
      <c r="H153" s="8">
        <v>0.29146163709491818</v>
      </c>
      <c r="I153" s="12">
        <v>7.2417999999999996E-2</v>
      </c>
      <c r="J153">
        <v>125320</v>
      </c>
      <c r="K153" s="12">
        <v>0.17605299999999999</v>
      </c>
      <c r="L153" s="12">
        <v>0.65663700000000003</v>
      </c>
      <c r="M153">
        <v>1.54</v>
      </c>
    </row>
    <row r="154" spans="1:13" x14ac:dyDescent="0.35">
      <c r="A154" t="s">
        <v>13</v>
      </c>
      <c r="B154">
        <v>10</v>
      </c>
      <c r="C154" t="s">
        <v>14</v>
      </c>
      <c r="D154">
        <v>64</v>
      </c>
      <c r="E154">
        <v>0</v>
      </c>
      <c r="F154">
        <v>49513</v>
      </c>
      <c r="G154">
        <v>199537</v>
      </c>
      <c r="H154" s="8">
        <v>0.24813944281010539</v>
      </c>
      <c r="I154" s="12">
        <v>0.332042</v>
      </c>
      <c r="J154">
        <v>182191</v>
      </c>
      <c r="K154" s="12">
        <v>7.8285999999999994E-2</v>
      </c>
      <c r="L154" s="12">
        <v>0.49514000000000002</v>
      </c>
      <c r="M154">
        <v>1.58</v>
      </c>
    </row>
    <row r="155" spans="1:13" x14ac:dyDescent="0.35">
      <c r="A155" t="s">
        <v>15</v>
      </c>
      <c r="B155">
        <v>10</v>
      </c>
      <c r="C155" t="s">
        <v>14</v>
      </c>
      <c r="D155">
        <v>64</v>
      </c>
      <c r="E155">
        <v>0</v>
      </c>
      <c r="F155">
        <v>43580</v>
      </c>
      <c r="G155">
        <v>262274</v>
      </c>
      <c r="H155" s="8">
        <v>0.16616210527921182</v>
      </c>
      <c r="I155" s="12">
        <v>0.38617699999999999</v>
      </c>
      <c r="J155">
        <v>223004</v>
      </c>
      <c r="K155" s="12">
        <v>8.2518999999999995E-2</v>
      </c>
      <c r="L155" s="12">
        <v>0.383407</v>
      </c>
      <c r="M155">
        <v>1.84</v>
      </c>
    </row>
    <row r="156" spans="1:13" x14ac:dyDescent="0.35">
      <c r="A156" t="s">
        <v>16</v>
      </c>
      <c r="B156">
        <v>10</v>
      </c>
      <c r="C156" t="s">
        <v>14</v>
      </c>
      <c r="D156">
        <v>64</v>
      </c>
      <c r="E156">
        <v>0</v>
      </c>
      <c r="F156">
        <v>36372</v>
      </c>
      <c r="G156">
        <v>240070</v>
      </c>
      <c r="H156" s="8">
        <v>0.15150581080518183</v>
      </c>
      <c r="I156" s="12">
        <v>0.32186300000000001</v>
      </c>
      <c r="J156">
        <v>299670</v>
      </c>
      <c r="K156" s="12">
        <v>4.7858999999999999E-2</v>
      </c>
      <c r="L156" s="12">
        <v>0.49745099999999998</v>
      </c>
      <c r="M156">
        <v>2.2000000000000002</v>
      </c>
    </row>
    <row r="157" spans="1:13" x14ac:dyDescent="0.35">
      <c r="A157" t="s">
        <v>17</v>
      </c>
      <c r="B157">
        <v>10</v>
      </c>
      <c r="C157" t="s">
        <v>14</v>
      </c>
      <c r="D157">
        <v>64</v>
      </c>
      <c r="E157">
        <v>0</v>
      </c>
      <c r="F157">
        <v>33942</v>
      </c>
      <c r="G157">
        <v>382579</v>
      </c>
      <c r="H157" s="8">
        <v>8.8718931253414332E-2</v>
      </c>
      <c r="I157" s="12">
        <v>0.33023000000000002</v>
      </c>
      <c r="J157">
        <v>491722</v>
      </c>
      <c r="K157" s="12">
        <v>3.8898000000000002E-2</v>
      </c>
      <c r="L157" s="12">
        <v>0.49809900000000001</v>
      </c>
      <c r="M157">
        <v>2.82</v>
      </c>
    </row>
    <row r="158" spans="1:13" x14ac:dyDescent="0.35">
      <c r="A158" t="s">
        <v>18</v>
      </c>
      <c r="B158">
        <v>10</v>
      </c>
      <c r="C158" t="s">
        <v>14</v>
      </c>
      <c r="D158">
        <v>64</v>
      </c>
      <c r="E158">
        <v>0</v>
      </c>
      <c r="F158">
        <v>46021</v>
      </c>
      <c r="G158">
        <v>244931</v>
      </c>
      <c r="H158" s="8">
        <v>0.18789373333714393</v>
      </c>
      <c r="I158" s="12">
        <v>0.34696900000000003</v>
      </c>
      <c r="J158">
        <v>244900</v>
      </c>
      <c r="K158" s="12">
        <v>9.3516000000000002E-2</v>
      </c>
      <c r="L158" s="12">
        <v>0.47726400000000002</v>
      </c>
      <c r="M158">
        <v>1.92</v>
      </c>
    </row>
    <row r="159" spans="1:13" x14ac:dyDescent="0.35">
      <c r="A159" t="s">
        <v>19</v>
      </c>
      <c r="B159">
        <v>10</v>
      </c>
      <c r="C159" t="s">
        <v>14</v>
      </c>
      <c r="D159">
        <v>64</v>
      </c>
      <c r="E159">
        <v>0</v>
      </c>
      <c r="F159">
        <v>43550</v>
      </c>
      <c r="G159">
        <v>216615</v>
      </c>
      <c r="H159" s="8">
        <v>0.20104794220160191</v>
      </c>
      <c r="I159" s="12">
        <v>0.34170099999999998</v>
      </c>
      <c r="J159">
        <v>297753</v>
      </c>
      <c r="K159" s="12">
        <v>4.6470999999999998E-2</v>
      </c>
      <c r="L159" s="12">
        <v>0.481103</v>
      </c>
      <c r="M159">
        <v>1.65</v>
      </c>
    </row>
    <row r="160" spans="1:13" x14ac:dyDescent="0.35">
      <c r="A160" t="s">
        <v>20</v>
      </c>
      <c r="B160">
        <v>10</v>
      </c>
      <c r="C160" t="s">
        <v>14</v>
      </c>
      <c r="D160">
        <v>64</v>
      </c>
      <c r="E160">
        <v>0</v>
      </c>
      <c r="F160">
        <v>62077</v>
      </c>
      <c r="G160">
        <v>145447</v>
      </c>
      <c r="H160" s="8">
        <v>0.42680151532860766</v>
      </c>
      <c r="I160" s="12">
        <v>7.2900000000000005E-4</v>
      </c>
      <c r="J160">
        <v>64</v>
      </c>
      <c r="K160" s="12">
        <v>0</v>
      </c>
      <c r="L160" s="12">
        <v>0</v>
      </c>
      <c r="M160">
        <v>0.38</v>
      </c>
    </row>
    <row r="161" spans="1:13" x14ac:dyDescent="0.35">
      <c r="A161" t="s">
        <v>21</v>
      </c>
      <c r="B161">
        <v>10</v>
      </c>
      <c r="C161" t="s">
        <v>14</v>
      </c>
      <c r="D161">
        <v>64</v>
      </c>
      <c r="E161">
        <v>0</v>
      </c>
      <c r="F161">
        <v>53190</v>
      </c>
      <c r="G161">
        <v>222526</v>
      </c>
      <c r="H161" s="8">
        <v>0.23902824838445844</v>
      </c>
      <c r="I161" s="12">
        <v>0.26904099999999997</v>
      </c>
      <c r="J161">
        <v>153373</v>
      </c>
      <c r="K161" s="12">
        <v>9.6065999999999999E-2</v>
      </c>
      <c r="L161" s="12">
        <v>0.43862899999999999</v>
      </c>
      <c r="M161">
        <v>1.73</v>
      </c>
    </row>
    <row r="162" spans="1:13" x14ac:dyDescent="0.35">
      <c r="A162" t="s">
        <v>13</v>
      </c>
      <c r="B162">
        <v>10</v>
      </c>
      <c r="C162" t="s">
        <v>14</v>
      </c>
      <c r="D162">
        <v>4</v>
      </c>
      <c r="E162">
        <v>4</v>
      </c>
      <c r="F162">
        <v>49513</v>
      </c>
      <c r="G162">
        <v>209819</v>
      </c>
      <c r="H162" s="8">
        <v>0.23597958240197503</v>
      </c>
      <c r="I162" s="12">
        <v>0.48792400000000002</v>
      </c>
      <c r="J162">
        <v>31818</v>
      </c>
      <c r="K162" s="12">
        <v>0.414105</v>
      </c>
      <c r="L162" s="12">
        <v>0.47511900000000001</v>
      </c>
      <c r="M162">
        <v>1.4</v>
      </c>
    </row>
    <row r="163" spans="1:13" x14ac:dyDescent="0.35">
      <c r="A163" t="s">
        <v>15</v>
      </c>
      <c r="B163">
        <v>10</v>
      </c>
      <c r="C163" t="s">
        <v>14</v>
      </c>
      <c r="D163">
        <v>4</v>
      </c>
      <c r="E163">
        <v>4</v>
      </c>
      <c r="F163">
        <v>43580</v>
      </c>
      <c r="G163">
        <v>182368</v>
      </c>
      <c r="H163" s="8">
        <v>0.23896736269520968</v>
      </c>
      <c r="I163" s="12">
        <v>7.5891E-2</v>
      </c>
      <c r="J163">
        <v>72242</v>
      </c>
      <c r="K163" s="12">
        <v>0.58436900000000003</v>
      </c>
      <c r="L163" s="12">
        <v>0.88317999999999997</v>
      </c>
      <c r="M163">
        <v>1.56</v>
      </c>
    </row>
    <row r="164" spans="1:13" x14ac:dyDescent="0.35">
      <c r="A164" t="s">
        <v>16</v>
      </c>
      <c r="B164">
        <v>10</v>
      </c>
      <c r="C164" t="s">
        <v>14</v>
      </c>
      <c r="D164">
        <v>4</v>
      </c>
      <c r="E164">
        <v>4</v>
      </c>
      <c r="F164">
        <v>36372</v>
      </c>
      <c r="G164">
        <v>190123</v>
      </c>
      <c r="H164" s="8">
        <v>0.1913077323627336</v>
      </c>
      <c r="I164" s="12">
        <v>5.6732999999999999E-2</v>
      </c>
      <c r="J164">
        <v>64772</v>
      </c>
      <c r="K164" s="12">
        <v>0.40867999999999999</v>
      </c>
      <c r="L164" s="12">
        <v>0.91753899999999999</v>
      </c>
      <c r="M164">
        <v>1.48</v>
      </c>
    </row>
    <row r="165" spans="1:13" x14ac:dyDescent="0.35">
      <c r="A165" t="s">
        <v>17</v>
      </c>
      <c r="B165">
        <v>10</v>
      </c>
      <c r="C165" t="s">
        <v>14</v>
      </c>
      <c r="D165">
        <v>4</v>
      </c>
      <c r="E165">
        <v>4</v>
      </c>
      <c r="F165">
        <v>33942</v>
      </c>
      <c r="G165">
        <v>303390</v>
      </c>
      <c r="H165" s="8">
        <v>0.11187580342133888</v>
      </c>
      <c r="I165" s="12">
        <v>5.8379E-2</v>
      </c>
      <c r="J165">
        <v>100923</v>
      </c>
      <c r="K165" s="12">
        <v>0.34992000000000001</v>
      </c>
      <c r="L165" s="12">
        <v>0.91966099999999995</v>
      </c>
      <c r="M165">
        <v>2.2000000000000002</v>
      </c>
    </row>
    <row r="166" spans="1:13" x14ac:dyDescent="0.35">
      <c r="A166" t="s">
        <v>18</v>
      </c>
      <c r="B166">
        <v>10</v>
      </c>
      <c r="C166" t="s">
        <v>14</v>
      </c>
      <c r="D166">
        <v>4</v>
      </c>
      <c r="E166">
        <v>4</v>
      </c>
      <c r="F166">
        <v>46021</v>
      </c>
      <c r="G166">
        <v>188565</v>
      </c>
      <c r="H166" s="8">
        <v>0.24405907777159069</v>
      </c>
      <c r="I166" s="12">
        <v>6.7693000000000003E-2</v>
      </c>
      <c r="J166">
        <v>85227</v>
      </c>
      <c r="K166" s="12">
        <v>0.51512999999999998</v>
      </c>
      <c r="L166" s="12">
        <v>0.91653600000000002</v>
      </c>
      <c r="M166">
        <v>1.57</v>
      </c>
    </row>
    <row r="167" spans="1:13" x14ac:dyDescent="0.35">
      <c r="A167" t="s">
        <v>19</v>
      </c>
      <c r="B167">
        <v>10</v>
      </c>
      <c r="C167" t="s">
        <v>14</v>
      </c>
      <c r="D167">
        <v>4</v>
      </c>
      <c r="E167">
        <v>4</v>
      </c>
      <c r="F167">
        <v>43550</v>
      </c>
      <c r="G167">
        <v>168376</v>
      </c>
      <c r="H167" s="8">
        <v>0.25864731315626932</v>
      </c>
      <c r="I167" s="12">
        <v>5.8847999999999998E-2</v>
      </c>
      <c r="J167">
        <v>64720</v>
      </c>
      <c r="K167" s="12">
        <v>0.40902300000000003</v>
      </c>
      <c r="L167" s="12">
        <v>0.91916699999999996</v>
      </c>
      <c r="M167">
        <v>1.53</v>
      </c>
    </row>
    <row r="168" spans="1:13" x14ac:dyDescent="0.35">
      <c r="A168" t="s">
        <v>20</v>
      </c>
      <c r="B168">
        <v>10</v>
      </c>
      <c r="C168" t="s">
        <v>14</v>
      </c>
      <c r="D168">
        <v>4</v>
      </c>
      <c r="E168">
        <v>4</v>
      </c>
      <c r="F168">
        <v>62077</v>
      </c>
      <c r="G168">
        <v>145419</v>
      </c>
      <c r="H168" s="8">
        <v>0.426883694702893</v>
      </c>
      <c r="I168" s="12">
        <v>6.5300000000000004E-4</v>
      </c>
      <c r="J168">
        <v>45</v>
      </c>
      <c r="K168" s="12">
        <v>4.4443999999999997E-2</v>
      </c>
      <c r="L168" s="12">
        <v>0.08</v>
      </c>
      <c r="M168">
        <v>1.07</v>
      </c>
    </row>
    <row r="169" spans="1:13" x14ac:dyDescent="0.35">
      <c r="A169" t="s">
        <v>21</v>
      </c>
      <c r="B169">
        <v>10</v>
      </c>
      <c r="C169" t="s">
        <v>14</v>
      </c>
      <c r="D169">
        <v>4</v>
      </c>
      <c r="E169">
        <v>4</v>
      </c>
      <c r="F169">
        <v>53190</v>
      </c>
      <c r="G169">
        <v>175393</v>
      </c>
      <c r="H169" s="8">
        <v>0.30326181774643229</v>
      </c>
      <c r="I169" s="12">
        <v>4.5400000000000003E-2</v>
      </c>
      <c r="J169">
        <v>57886</v>
      </c>
      <c r="K169" s="12">
        <v>0.53275399999999995</v>
      </c>
      <c r="L169" s="12">
        <v>0.91782699999999995</v>
      </c>
      <c r="M169">
        <v>1.52</v>
      </c>
    </row>
    <row r="170" spans="1:13" x14ac:dyDescent="0.35">
      <c r="A170" t="s">
        <v>13</v>
      </c>
      <c r="B170">
        <v>10</v>
      </c>
      <c r="C170" t="s">
        <v>14</v>
      </c>
      <c r="D170">
        <v>4</v>
      </c>
      <c r="E170">
        <v>8</v>
      </c>
      <c r="F170">
        <v>49513</v>
      </c>
      <c r="G170">
        <v>175436</v>
      </c>
      <c r="H170" s="8">
        <v>0.28222827697849928</v>
      </c>
      <c r="I170" s="12">
        <v>0.15920799999999999</v>
      </c>
      <c r="J170">
        <v>42973</v>
      </c>
      <c r="K170" s="12">
        <v>0.50655099999999997</v>
      </c>
      <c r="L170" s="12">
        <v>0.76298600000000005</v>
      </c>
      <c r="M170">
        <v>1.5</v>
      </c>
    </row>
    <row r="171" spans="1:13" x14ac:dyDescent="0.35">
      <c r="A171" t="s">
        <v>15</v>
      </c>
      <c r="B171">
        <v>10</v>
      </c>
      <c r="C171" t="s">
        <v>14</v>
      </c>
      <c r="D171">
        <v>4</v>
      </c>
      <c r="E171">
        <v>8</v>
      </c>
      <c r="F171">
        <v>43580</v>
      </c>
      <c r="G171">
        <v>190924</v>
      </c>
      <c r="H171" s="8">
        <v>0.22825836458486098</v>
      </c>
      <c r="I171" s="12">
        <v>0.115427</v>
      </c>
      <c r="J171">
        <v>70327</v>
      </c>
      <c r="K171" s="12">
        <v>0.57070500000000002</v>
      </c>
      <c r="L171" s="12">
        <v>0.83616699999999999</v>
      </c>
      <c r="M171">
        <v>1.61</v>
      </c>
    </row>
    <row r="172" spans="1:13" x14ac:dyDescent="0.35">
      <c r="A172" t="s">
        <v>16</v>
      </c>
      <c r="B172">
        <v>10</v>
      </c>
      <c r="C172" t="s">
        <v>14</v>
      </c>
      <c r="D172">
        <v>4</v>
      </c>
      <c r="E172">
        <v>8</v>
      </c>
      <c r="F172">
        <v>36372</v>
      </c>
      <c r="G172">
        <v>197000</v>
      </c>
      <c r="H172" s="8">
        <v>0.18462944162436548</v>
      </c>
      <c r="I172" s="12">
        <v>9.7031999999999993E-2</v>
      </c>
      <c r="J172">
        <v>60300</v>
      </c>
      <c r="K172" s="12">
        <v>0.408474</v>
      </c>
      <c r="L172" s="12">
        <v>0.85376099999999999</v>
      </c>
      <c r="M172">
        <v>1.46</v>
      </c>
    </row>
    <row r="173" spans="1:13" x14ac:dyDescent="0.35">
      <c r="A173" t="s">
        <v>17</v>
      </c>
      <c r="B173">
        <v>10</v>
      </c>
      <c r="C173" t="s">
        <v>14</v>
      </c>
      <c r="D173">
        <v>4</v>
      </c>
      <c r="E173">
        <v>8</v>
      </c>
      <c r="F173">
        <v>33942</v>
      </c>
      <c r="G173">
        <v>314158</v>
      </c>
      <c r="H173" s="8">
        <v>0.10804117673272684</v>
      </c>
      <c r="I173" s="12">
        <v>9.8529000000000005E-2</v>
      </c>
      <c r="J173">
        <v>95327</v>
      </c>
      <c r="K173" s="12">
        <v>0.34482400000000002</v>
      </c>
      <c r="L173" s="12">
        <v>0.856016</v>
      </c>
      <c r="M173">
        <v>2.33</v>
      </c>
    </row>
    <row r="174" spans="1:13" x14ac:dyDescent="0.35">
      <c r="A174" t="s">
        <v>18</v>
      </c>
      <c r="B174">
        <v>10</v>
      </c>
      <c r="C174" t="s">
        <v>14</v>
      </c>
      <c r="D174">
        <v>4</v>
      </c>
      <c r="E174">
        <v>8</v>
      </c>
      <c r="F174">
        <v>46021</v>
      </c>
      <c r="G174">
        <v>199473</v>
      </c>
      <c r="H174" s="8">
        <v>0.23071292856677345</v>
      </c>
      <c r="I174" s="12">
        <v>0.110917</v>
      </c>
      <c r="J174">
        <v>82214</v>
      </c>
      <c r="K174" s="12">
        <v>0.49601000000000001</v>
      </c>
      <c r="L174" s="12">
        <v>0.84956200000000004</v>
      </c>
      <c r="M174">
        <v>1.59</v>
      </c>
    </row>
    <row r="175" spans="1:13" x14ac:dyDescent="0.35">
      <c r="A175" t="s">
        <v>19</v>
      </c>
      <c r="B175">
        <v>10</v>
      </c>
      <c r="C175" t="s">
        <v>14</v>
      </c>
      <c r="D175">
        <v>4</v>
      </c>
      <c r="E175">
        <v>8</v>
      </c>
      <c r="F175">
        <v>43550</v>
      </c>
      <c r="G175">
        <v>175242</v>
      </c>
      <c r="H175" s="8">
        <v>0.24851348421040617</v>
      </c>
      <c r="I175" s="12">
        <v>0.10131900000000001</v>
      </c>
      <c r="J175">
        <v>60337</v>
      </c>
      <c r="K175" s="12">
        <v>0.40823999999999999</v>
      </c>
      <c r="L175" s="12">
        <v>0.85527799999999998</v>
      </c>
      <c r="M175">
        <v>1.36</v>
      </c>
    </row>
    <row r="176" spans="1:13" x14ac:dyDescent="0.35">
      <c r="A176" t="s">
        <v>20</v>
      </c>
      <c r="B176">
        <v>10</v>
      </c>
      <c r="C176" t="s">
        <v>14</v>
      </c>
      <c r="D176">
        <v>4</v>
      </c>
      <c r="E176">
        <v>8</v>
      </c>
      <c r="F176">
        <v>62077</v>
      </c>
      <c r="G176">
        <v>145425</v>
      </c>
      <c r="H176" s="8">
        <v>0.42686608217294136</v>
      </c>
      <c r="I176" s="12">
        <v>6.6699999999999995E-4</v>
      </c>
      <c r="J176">
        <v>45</v>
      </c>
      <c r="K176" s="12">
        <v>0</v>
      </c>
      <c r="L176" s="12">
        <v>0</v>
      </c>
      <c r="M176">
        <v>0.98</v>
      </c>
    </row>
    <row r="177" spans="1:13" x14ac:dyDescent="0.35">
      <c r="A177" t="s">
        <v>21</v>
      </c>
      <c r="B177">
        <v>10</v>
      </c>
      <c r="C177" t="s">
        <v>14</v>
      </c>
      <c r="D177">
        <v>4</v>
      </c>
      <c r="E177">
        <v>8</v>
      </c>
      <c r="F177">
        <v>53190</v>
      </c>
      <c r="G177">
        <v>186361</v>
      </c>
      <c r="H177" s="8">
        <v>0.28541379365854441</v>
      </c>
      <c r="I177" s="12">
        <v>7.7933000000000002E-2</v>
      </c>
      <c r="J177">
        <v>54803</v>
      </c>
      <c r="K177" s="12">
        <v>0.52287300000000003</v>
      </c>
      <c r="L177" s="12">
        <v>0.852827</v>
      </c>
      <c r="M177">
        <v>1.67</v>
      </c>
    </row>
    <row r="178" spans="1:13" x14ac:dyDescent="0.35">
      <c r="A178" t="s">
        <v>13</v>
      </c>
      <c r="B178">
        <v>10</v>
      </c>
      <c r="C178" t="s">
        <v>14</v>
      </c>
      <c r="D178">
        <v>4</v>
      </c>
      <c r="E178">
        <v>16</v>
      </c>
      <c r="F178">
        <v>49513</v>
      </c>
      <c r="G178">
        <v>204719</v>
      </c>
      <c r="H178" s="8">
        <v>0.24185835218030569</v>
      </c>
      <c r="I178" s="12">
        <v>0.447407</v>
      </c>
      <c r="J178">
        <v>26214</v>
      </c>
      <c r="K178" s="12">
        <v>0.62192000000000003</v>
      </c>
      <c r="L178" s="12">
        <v>0.56605700000000003</v>
      </c>
      <c r="M178">
        <v>1.36</v>
      </c>
    </row>
    <row r="179" spans="1:13" x14ac:dyDescent="0.35">
      <c r="A179" t="s">
        <v>15</v>
      </c>
      <c r="B179">
        <v>10</v>
      </c>
      <c r="C179" t="s">
        <v>14</v>
      </c>
      <c r="D179">
        <v>4</v>
      </c>
      <c r="E179">
        <v>16</v>
      </c>
      <c r="F179">
        <v>43580</v>
      </c>
      <c r="G179">
        <v>211824</v>
      </c>
      <c r="H179" s="8">
        <v>0.20573683812976812</v>
      </c>
      <c r="I179" s="12">
        <v>0.196437</v>
      </c>
      <c r="J179">
        <v>67178</v>
      </c>
      <c r="K179" s="12">
        <v>0.52060200000000001</v>
      </c>
      <c r="L179" s="12">
        <v>0.72860400000000003</v>
      </c>
      <c r="M179">
        <v>1.48</v>
      </c>
    </row>
    <row r="180" spans="1:13" x14ac:dyDescent="0.35">
      <c r="A180" t="s">
        <v>16</v>
      </c>
      <c r="B180">
        <v>10</v>
      </c>
      <c r="C180" t="s">
        <v>14</v>
      </c>
      <c r="D180">
        <v>4</v>
      </c>
      <c r="E180">
        <v>16</v>
      </c>
      <c r="F180">
        <v>36372</v>
      </c>
      <c r="G180">
        <v>211088</v>
      </c>
      <c r="H180" s="8">
        <v>0.17230728416584554</v>
      </c>
      <c r="I180" s="12">
        <v>0.178485</v>
      </c>
      <c r="J180">
        <v>51998</v>
      </c>
      <c r="K180" s="12">
        <v>0.40297699999999997</v>
      </c>
      <c r="L180" s="12">
        <v>0.72630799999999995</v>
      </c>
      <c r="M180">
        <v>1.37</v>
      </c>
    </row>
    <row r="181" spans="1:13" x14ac:dyDescent="0.35">
      <c r="A181" t="s">
        <v>17</v>
      </c>
      <c r="B181">
        <v>10</v>
      </c>
      <c r="C181" t="s">
        <v>14</v>
      </c>
      <c r="D181">
        <v>4</v>
      </c>
      <c r="E181">
        <v>16</v>
      </c>
      <c r="F181">
        <v>33942</v>
      </c>
      <c r="G181">
        <v>334644</v>
      </c>
      <c r="H181" s="8">
        <v>0.10142718829562161</v>
      </c>
      <c r="I181" s="12">
        <v>0.17963499999999999</v>
      </c>
      <c r="J181">
        <v>83465</v>
      </c>
      <c r="K181" s="12">
        <v>0.33528999999999998</v>
      </c>
      <c r="L181" s="12">
        <v>0.72877599999999998</v>
      </c>
      <c r="M181">
        <v>2.1800000000000002</v>
      </c>
    </row>
    <row r="182" spans="1:13" x14ac:dyDescent="0.35">
      <c r="A182" t="s">
        <v>18</v>
      </c>
      <c r="B182">
        <v>10</v>
      </c>
      <c r="C182" t="s">
        <v>14</v>
      </c>
      <c r="D182">
        <v>4</v>
      </c>
      <c r="E182">
        <v>16</v>
      </c>
      <c r="F182">
        <v>46021</v>
      </c>
      <c r="G182">
        <v>216464</v>
      </c>
      <c r="H182" s="8">
        <v>0.2126034814103038</v>
      </c>
      <c r="I182" s="12">
        <v>0.20216700000000001</v>
      </c>
      <c r="J182">
        <v>69594</v>
      </c>
      <c r="K182" s="12">
        <v>0.498448</v>
      </c>
      <c r="L182" s="12">
        <v>0.722688</v>
      </c>
      <c r="M182">
        <v>1.74</v>
      </c>
    </row>
    <row r="183" spans="1:13" x14ac:dyDescent="0.35">
      <c r="A183" t="s">
        <v>19</v>
      </c>
      <c r="B183">
        <v>10</v>
      </c>
      <c r="C183" t="s">
        <v>14</v>
      </c>
      <c r="D183">
        <v>4</v>
      </c>
      <c r="E183">
        <v>16</v>
      </c>
      <c r="F183">
        <v>43550</v>
      </c>
      <c r="G183">
        <v>188442</v>
      </c>
      <c r="H183" s="8">
        <v>0.23110559217159657</v>
      </c>
      <c r="I183" s="12">
        <v>0.186753</v>
      </c>
      <c r="J183">
        <v>51311</v>
      </c>
      <c r="K183" s="12">
        <v>0.40837200000000001</v>
      </c>
      <c r="L183" s="12">
        <v>0.72756900000000002</v>
      </c>
      <c r="M183">
        <v>1.42</v>
      </c>
    </row>
    <row r="184" spans="1:13" x14ac:dyDescent="0.35">
      <c r="A184" t="s">
        <v>20</v>
      </c>
      <c r="B184">
        <v>10</v>
      </c>
      <c r="C184" t="s">
        <v>14</v>
      </c>
      <c r="D184">
        <v>4</v>
      </c>
      <c r="E184">
        <v>16</v>
      </c>
      <c r="F184">
        <v>62077</v>
      </c>
      <c r="G184">
        <v>145425</v>
      </c>
      <c r="H184" s="8">
        <v>0.42686608217294136</v>
      </c>
      <c r="I184" s="12">
        <v>6.6699999999999995E-4</v>
      </c>
      <c r="J184">
        <v>42</v>
      </c>
      <c r="K184" s="12">
        <v>0</v>
      </c>
      <c r="L184" s="12">
        <v>0</v>
      </c>
      <c r="M184">
        <v>1.06</v>
      </c>
    </row>
    <row r="185" spans="1:13" x14ac:dyDescent="0.35">
      <c r="A185" t="s">
        <v>21</v>
      </c>
      <c r="B185">
        <v>10</v>
      </c>
      <c r="C185" t="s">
        <v>14</v>
      </c>
      <c r="D185">
        <v>4</v>
      </c>
      <c r="E185">
        <v>16</v>
      </c>
      <c r="F185">
        <v>53190</v>
      </c>
      <c r="G185">
        <v>202727</v>
      </c>
      <c r="H185" s="8">
        <v>0.26237255027697348</v>
      </c>
      <c r="I185" s="12">
        <v>0.13730800000000001</v>
      </c>
      <c r="J185">
        <v>46989</v>
      </c>
      <c r="K185" s="12">
        <v>0.51771699999999998</v>
      </c>
      <c r="L185" s="12">
        <v>0.72401800000000005</v>
      </c>
      <c r="M185">
        <v>1.51</v>
      </c>
    </row>
    <row r="186" spans="1:13" x14ac:dyDescent="0.35">
      <c r="A186" t="s">
        <v>13</v>
      </c>
      <c r="B186">
        <v>10</v>
      </c>
      <c r="C186" t="s">
        <v>14</v>
      </c>
      <c r="D186">
        <v>4</v>
      </c>
      <c r="E186">
        <v>32</v>
      </c>
      <c r="F186">
        <v>49513</v>
      </c>
      <c r="G186">
        <v>212484</v>
      </c>
      <c r="H186" s="8">
        <v>0.23301989796878825</v>
      </c>
      <c r="I186" s="12">
        <v>0.51786699999999997</v>
      </c>
      <c r="J186">
        <v>17225</v>
      </c>
      <c r="K186" s="12">
        <v>0.61561699999999997</v>
      </c>
      <c r="L186" s="12">
        <v>0.36768400000000001</v>
      </c>
      <c r="M186">
        <v>1.5</v>
      </c>
    </row>
    <row r="187" spans="1:13" x14ac:dyDescent="0.35">
      <c r="A187" t="s">
        <v>15</v>
      </c>
      <c r="B187">
        <v>10</v>
      </c>
      <c r="C187" t="s">
        <v>14</v>
      </c>
      <c r="D187">
        <v>4</v>
      </c>
      <c r="E187">
        <v>32</v>
      </c>
      <c r="F187">
        <v>43580</v>
      </c>
      <c r="G187">
        <v>247879</v>
      </c>
      <c r="H187" s="8">
        <v>0.17581158549130826</v>
      </c>
      <c r="I187" s="12">
        <v>0.37431199999999998</v>
      </c>
      <c r="J187">
        <v>44721</v>
      </c>
      <c r="K187" s="12">
        <v>0.51268999999999998</v>
      </c>
      <c r="L187" s="12">
        <v>0.47766700000000001</v>
      </c>
      <c r="M187">
        <v>1.61</v>
      </c>
    </row>
    <row r="188" spans="1:13" x14ac:dyDescent="0.35">
      <c r="A188" t="s">
        <v>16</v>
      </c>
      <c r="B188">
        <v>10</v>
      </c>
      <c r="C188" t="s">
        <v>14</v>
      </c>
      <c r="D188">
        <v>4</v>
      </c>
      <c r="E188">
        <v>32</v>
      </c>
      <c r="F188">
        <v>36372</v>
      </c>
      <c r="G188">
        <v>235169</v>
      </c>
      <c r="H188" s="8">
        <v>0.15466324217902869</v>
      </c>
      <c r="I188" s="12">
        <v>0.34012599999999998</v>
      </c>
      <c r="J188">
        <v>37889</v>
      </c>
      <c r="K188" s="12">
        <v>0.36100199999999999</v>
      </c>
      <c r="L188" s="12">
        <v>0.474107</v>
      </c>
      <c r="M188">
        <v>1.43</v>
      </c>
    </row>
    <row r="189" spans="1:13" x14ac:dyDescent="0.35">
      <c r="A189" t="s">
        <v>17</v>
      </c>
      <c r="B189">
        <v>10</v>
      </c>
      <c r="C189" t="s">
        <v>14</v>
      </c>
      <c r="D189">
        <v>4</v>
      </c>
      <c r="E189">
        <v>32</v>
      </c>
      <c r="F189">
        <v>33942</v>
      </c>
      <c r="G189">
        <v>372303</v>
      </c>
      <c r="H189" s="8">
        <v>9.1167677939742633E-2</v>
      </c>
      <c r="I189" s="12">
        <v>0.34054200000000001</v>
      </c>
      <c r="J189">
        <v>60633</v>
      </c>
      <c r="K189" s="12">
        <v>0.30186499999999999</v>
      </c>
      <c r="L189" s="12">
        <v>0.47664099999999998</v>
      </c>
      <c r="M189">
        <v>2.2000000000000002</v>
      </c>
    </row>
    <row r="190" spans="1:13" x14ac:dyDescent="0.35">
      <c r="A190" t="s">
        <v>18</v>
      </c>
      <c r="B190">
        <v>10</v>
      </c>
      <c r="C190" t="s">
        <v>14</v>
      </c>
      <c r="D190">
        <v>4</v>
      </c>
      <c r="E190">
        <v>32</v>
      </c>
      <c r="F190">
        <v>46021</v>
      </c>
      <c r="G190">
        <v>238996</v>
      </c>
      <c r="H190" s="8">
        <v>0.19255970811226966</v>
      </c>
      <c r="I190" s="12">
        <v>0.36613000000000001</v>
      </c>
      <c r="J190">
        <v>44327</v>
      </c>
      <c r="K190" s="12">
        <v>0.51198999999999995</v>
      </c>
      <c r="L190" s="12">
        <v>0.47283199999999997</v>
      </c>
      <c r="M190">
        <v>1.59</v>
      </c>
    </row>
    <row r="191" spans="1:13" x14ac:dyDescent="0.35">
      <c r="A191" t="s">
        <v>19</v>
      </c>
      <c r="B191">
        <v>10</v>
      </c>
      <c r="C191" t="s">
        <v>14</v>
      </c>
      <c r="D191">
        <v>4</v>
      </c>
      <c r="E191">
        <v>32</v>
      </c>
      <c r="F191">
        <v>43550</v>
      </c>
      <c r="G191">
        <v>211111</v>
      </c>
      <c r="H191" s="8">
        <v>0.20628958225767488</v>
      </c>
      <c r="I191" s="12">
        <v>0.359346</v>
      </c>
      <c r="J191">
        <v>37270</v>
      </c>
      <c r="K191" s="12">
        <v>0.36699799999999999</v>
      </c>
      <c r="L191" s="12">
        <v>0.47493099999999999</v>
      </c>
      <c r="M191">
        <v>1.45</v>
      </c>
    </row>
    <row r="192" spans="1:13" x14ac:dyDescent="0.35">
      <c r="A192" t="s">
        <v>20</v>
      </c>
      <c r="B192">
        <v>10</v>
      </c>
      <c r="C192" t="s">
        <v>14</v>
      </c>
      <c r="D192">
        <v>4</v>
      </c>
      <c r="E192">
        <v>32</v>
      </c>
      <c r="F192">
        <v>62077</v>
      </c>
      <c r="G192">
        <v>145415</v>
      </c>
      <c r="H192" s="8">
        <v>0.42689543719698791</v>
      </c>
      <c r="I192" s="12">
        <v>6.8099999999999996E-4</v>
      </c>
      <c r="J192">
        <v>12</v>
      </c>
      <c r="K192" s="12">
        <v>0</v>
      </c>
      <c r="L192" s="12">
        <v>0</v>
      </c>
      <c r="M192">
        <v>0.99</v>
      </c>
    </row>
    <row r="193" spans="1:15" x14ac:dyDescent="0.35">
      <c r="A193" t="s">
        <v>21</v>
      </c>
      <c r="B193">
        <v>10</v>
      </c>
      <c r="C193" t="s">
        <v>14</v>
      </c>
      <c r="D193">
        <v>4</v>
      </c>
      <c r="E193">
        <v>32</v>
      </c>
      <c r="F193">
        <v>53190</v>
      </c>
      <c r="G193">
        <v>218659</v>
      </c>
      <c r="H193" s="8">
        <v>0.24325547999396321</v>
      </c>
      <c r="I193" s="12">
        <v>0.25868999999999998</v>
      </c>
      <c r="J193">
        <v>30130</v>
      </c>
      <c r="K193" s="12">
        <v>0.52588800000000002</v>
      </c>
      <c r="L193" s="12">
        <v>0.47157700000000002</v>
      </c>
      <c r="M193">
        <v>1.47</v>
      </c>
    </row>
    <row r="195" spans="1:15" x14ac:dyDescent="0.35">
      <c r="A195" s="1" t="s">
        <v>0</v>
      </c>
      <c r="B195" s="1" t="s">
        <v>91</v>
      </c>
      <c r="C195" s="1" t="s">
        <v>92</v>
      </c>
      <c r="D195" s="1" t="s">
        <v>39</v>
      </c>
      <c r="E195" s="1" t="s">
        <v>56</v>
      </c>
      <c r="F195" s="1" t="s">
        <v>5</v>
      </c>
      <c r="G195" s="1" t="s">
        <v>6</v>
      </c>
      <c r="H195" s="7" t="s">
        <v>7</v>
      </c>
      <c r="I195" s="7" t="s">
        <v>8</v>
      </c>
      <c r="J195" s="1" t="s">
        <v>12</v>
      </c>
      <c r="K195"/>
      <c r="M195"/>
    </row>
    <row r="196" spans="1:15" x14ac:dyDescent="0.35">
      <c r="A196" t="s">
        <v>88</v>
      </c>
      <c r="B196">
        <v>1</v>
      </c>
      <c r="C196" t="s">
        <v>93</v>
      </c>
      <c r="D196">
        <v>4</v>
      </c>
      <c r="E196">
        <v>0</v>
      </c>
      <c r="F196">
        <v>512923</v>
      </c>
      <c r="H196" s="8" t="e" cm="1">
        <f t="array" ref="H196:H204" xml:space="preserve"> F196:F204 / G196:G204</f>
        <v>#DIV/0!</v>
      </c>
      <c r="I196" s="8"/>
      <c r="J196" s="8"/>
      <c r="M196"/>
    </row>
    <row r="197" spans="1:15" x14ac:dyDescent="0.35">
      <c r="A197" t="s">
        <v>89</v>
      </c>
      <c r="B197">
        <v>1</v>
      </c>
      <c r="C197" t="s">
        <v>93</v>
      </c>
      <c r="D197">
        <v>4</v>
      </c>
      <c r="E197">
        <v>0</v>
      </c>
      <c r="F197">
        <v>34695</v>
      </c>
      <c r="H197" s="8" t="e">
        <v>#DIV/0!</v>
      </c>
      <c r="I197" s="8"/>
      <c r="J197"/>
      <c r="K197" s="14"/>
      <c r="M197"/>
    </row>
    <row r="198" spans="1:15" x14ac:dyDescent="0.35">
      <c r="A198" t="s">
        <v>90</v>
      </c>
      <c r="B198">
        <v>1</v>
      </c>
      <c r="C198" t="s">
        <v>97</v>
      </c>
      <c r="D198">
        <v>4</v>
      </c>
      <c r="E198">
        <v>0</v>
      </c>
      <c r="F198">
        <v>474041</v>
      </c>
      <c r="H198" s="8" t="e">
        <v>#DIV/0!</v>
      </c>
      <c r="I198" s="8"/>
      <c r="J198" s="8"/>
      <c r="M198"/>
    </row>
    <row r="199" spans="1:15" x14ac:dyDescent="0.35">
      <c r="A199" t="s">
        <v>88</v>
      </c>
      <c r="B199">
        <v>5</v>
      </c>
      <c r="C199" t="s">
        <v>93</v>
      </c>
      <c r="D199">
        <v>4</v>
      </c>
      <c r="E199">
        <v>0</v>
      </c>
      <c r="F199">
        <v>512923</v>
      </c>
      <c r="H199" s="8" t="e">
        <v>#DIV/0!</v>
      </c>
      <c r="I199" s="8"/>
      <c r="J199" s="8"/>
      <c r="L199" s="12"/>
      <c r="M199" s="12"/>
      <c r="O199" s="10"/>
    </row>
    <row r="200" spans="1:15" x14ac:dyDescent="0.35">
      <c r="A200" t="s">
        <v>89</v>
      </c>
      <c r="B200">
        <v>5</v>
      </c>
      <c r="C200" t="s">
        <v>93</v>
      </c>
      <c r="D200">
        <v>4</v>
      </c>
      <c r="E200">
        <v>0</v>
      </c>
      <c r="F200">
        <v>34695</v>
      </c>
      <c r="H200" s="8" t="e">
        <v>#DIV/0!</v>
      </c>
      <c r="I200" s="8"/>
      <c r="J200"/>
      <c r="K200" s="14"/>
      <c r="L200" s="12"/>
      <c r="M200" s="12"/>
      <c r="O200" s="10"/>
    </row>
    <row r="201" spans="1:15" x14ac:dyDescent="0.35">
      <c r="A201" t="s">
        <v>90</v>
      </c>
      <c r="B201">
        <v>5</v>
      </c>
      <c r="C201" t="s">
        <v>97</v>
      </c>
      <c r="D201">
        <v>4</v>
      </c>
      <c r="E201">
        <v>0</v>
      </c>
      <c r="F201">
        <v>474041</v>
      </c>
      <c r="H201" s="8" t="e">
        <v>#DIV/0!</v>
      </c>
      <c r="I201" s="8"/>
      <c r="J201"/>
      <c r="K201" s="14"/>
      <c r="L201" s="12"/>
      <c r="M201" s="12"/>
      <c r="O201" s="10"/>
    </row>
    <row r="202" spans="1:15" x14ac:dyDescent="0.35">
      <c r="A202" t="s">
        <v>88</v>
      </c>
      <c r="B202">
        <v>10</v>
      </c>
      <c r="C202" t="s">
        <v>93</v>
      </c>
      <c r="D202">
        <v>4</v>
      </c>
      <c r="E202">
        <v>0</v>
      </c>
      <c r="F202">
        <v>512923</v>
      </c>
      <c r="H202" s="8" t="e">
        <v>#DIV/0!</v>
      </c>
      <c r="I202" s="8"/>
      <c r="J202"/>
      <c r="L202" s="12"/>
      <c r="M202" s="12"/>
      <c r="O202" s="10"/>
    </row>
    <row r="203" spans="1:15" x14ac:dyDescent="0.35">
      <c r="A203" t="s">
        <v>89</v>
      </c>
      <c r="B203">
        <v>10</v>
      </c>
      <c r="C203" t="s">
        <v>93</v>
      </c>
      <c r="D203">
        <v>4</v>
      </c>
      <c r="E203">
        <v>0</v>
      </c>
      <c r="F203">
        <v>34695</v>
      </c>
      <c r="H203" s="8" t="e">
        <v>#DIV/0!</v>
      </c>
      <c r="I203" s="8"/>
      <c r="J203"/>
      <c r="K203" s="14"/>
      <c r="L203" s="12"/>
      <c r="M203" s="12"/>
      <c r="O203" s="10"/>
    </row>
    <row r="204" spans="1:15" x14ac:dyDescent="0.35">
      <c r="A204" t="s">
        <v>90</v>
      </c>
      <c r="B204">
        <v>10</v>
      </c>
      <c r="C204" t="s">
        <v>97</v>
      </c>
      <c r="D204">
        <v>4</v>
      </c>
      <c r="E204">
        <v>0</v>
      </c>
      <c r="F204">
        <v>474041</v>
      </c>
      <c r="H204" s="8" t="e">
        <v>#DIV/0!</v>
      </c>
      <c r="I204" s="8"/>
      <c r="J204"/>
      <c r="K204" s="14"/>
      <c r="L204" s="12"/>
      <c r="M204" s="12"/>
      <c r="O20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1"/>
  <sheetViews>
    <sheetView topLeftCell="A106" workbookViewId="0">
      <selection activeCell="E16" sqref="E16"/>
    </sheetView>
  </sheetViews>
  <sheetFormatPr defaultRowHeight="14.5" x14ac:dyDescent="0.35"/>
  <cols>
    <col min="1" max="1" width="6.1796875" bestFit="1" customWidth="1"/>
    <col min="2" max="2" width="8.81640625" bestFit="1" customWidth="1"/>
    <col min="3" max="3" width="8.90625" bestFit="1" customWidth="1"/>
    <col min="4" max="4" width="20.54296875" bestFit="1" customWidth="1"/>
    <col min="5" max="5" width="17.453125" bestFit="1" customWidth="1"/>
    <col min="6" max="6" width="10.90625" bestFit="1" customWidth="1"/>
    <col min="7" max="7" width="6.453125" bestFit="1" customWidth="1"/>
    <col min="8" max="8" width="6.90625" style="8" bestFit="1" customWidth="1"/>
    <col min="9" max="9" width="12.1796875" style="12" bestFit="1" customWidth="1"/>
    <col min="10" max="10" width="9.36328125" style="10" bestFit="1" customWidth="1"/>
    <col min="11" max="12" width="8.54296875" style="12" bestFit="1" customWidth="1"/>
    <col min="13" max="13" width="16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1" t="s">
        <v>8</v>
      </c>
      <c r="J1" s="9" t="s">
        <v>9</v>
      </c>
      <c r="K1" s="11" t="s">
        <v>10</v>
      </c>
      <c r="L1" s="11" t="s">
        <v>11</v>
      </c>
      <c r="M1" s="1" t="s">
        <v>12</v>
      </c>
    </row>
    <row r="2" spans="1:13" x14ac:dyDescent="0.35">
      <c r="A2" t="s">
        <v>13</v>
      </c>
      <c r="B2">
        <v>1</v>
      </c>
      <c r="C2" t="s">
        <v>14</v>
      </c>
      <c r="D2">
        <v>16</v>
      </c>
      <c r="E2">
        <v>4</v>
      </c>
      <c r="F2">
        <v>5058</v>
      </c>
      <c r="G2">
        <v>24019</v>
      </c>
      <c r="H2" s="8">
        <f t="array" ref="H2:H9">F2:F9 / G2:G9</f>
        <v>0.21058328823015113</v>
      </c>
      <c r="I2" s="12">
        <v>0.12828899999999999</v>
      </c>
      <c r="J2" s="10">
        <v>4462</v>
      </c>
      <c r="K2" s="12">
        <v>0.387046</v>
      </c>
      <c r="L2" s="12">
        <v>0.65268300000000001</v>
      </c>
      <c r="M2">
        <v>0.24</v>
      </c>
    </row>
    <row r="3" spans="1:13" x14ac:dyDescent="0.35">
      <c r="A3" t="s">
        <v>15</v>
      </c>
      <c r="B3">
        <v>1</v>
      </c>
      <c r="C3" t="s">
        <v>14</v>
      </c>
      <c r="D3">
        <v>16</v>
      </c>
      <c r="E3">
        <v>4</v>
      </c>
      <c r="F3">
        <v>4417</v>
      </c>
      <c r="G3">
        <v>18540</v>
      </c>
      <c r="H3" s="8">
        <v>0.23824163969795037</v>
      </c>
      <c r="I3" s="12">
        <v>0.24296899999999999</v>
      </c>
      <c r="J3" s="10">
        <v>5941</v>
      </c>
      <c r="K3" s="12">
        <v>0.60158199999999995</v>
      </c>
      <c r="L3" s="12">
        <v>0.88750899999999999</v>
      </c>
      <c r="M3">
        <v>0.22</v>
      </c>
    </row>
    <row r="4" spans="1:13" x14ac:dyDescent="0.35">
      <c r="A4" t="s">
        <v>16</v>
      </c>
      <c r="B4">
        <v>1</v>
      </c>
      <c r="C4" t="s">
        <v>14</v>
      </c>
      <c r="D4">
        <v>16</v>
      </c>
      <c r="E4">
        <v>4</v>
      </c>
      <c r="F4">
        <v>3696</v>
      </c>
      <c r="G4">
        <v>19194</v>
      </c>
      <c r="H4" s="8">
        <v>0.1925601750547046</v>
      </c>
      <c r="I4" s="12">
        <v>4.1392999999999999E-2</v>
      </c>
      <c r="J4" s="10">
        <v>5319</v>
      </c>
      <c r="K4" s="12">
        <v>0.47546500000000003</v>
      </c>
      <c r="L4" s="12">
        <v>0.88643499999999997</v>
      </c>
      <c r="M4">
        <v>0.21</v>
      </c>
    </row>
    <row r="5" spans="1:13" x14ac:dyDescent="0.35">
      <c r="A5" t="s">
        <v>17</v>
      </c>
      <c r="B5">
        <v>1</v>
      </c>
      <c r="C5" t="s">
        <v>14</v>
      </c>
      <c r="D5">
        <v>16</v>
      </c>
      <c r="E5">
        <v>4</v>
      </c>
      <c r="F5">
        <v>3455</v>
      </c>
      <c r="G5">
        <v>29960</v>
      </c>
      <c r="H5" s="8">
        <v>0.11532042723631508</v>
      </c>
      <c r="I5" s="12">
        <v>3.2781999999999999E-2</v>
      </c>
      <c r="J5" s="10">
        <v>8782</v>
      </c>
      <c r="K5" s="12">
        <v>0.40514699999999998</v>
      </c>
      <c r="L5" s="12">
        <v>0.941021</v>
      </c>
      <c r="M5">
        <v>0.28000000000000003</v>
      </c>
    </row>
    <row r="6" spans="1:13" x14ac:dyDescent="0.35">
      <c r="A6" t="s">
        <v>18</v>
      </c>
      <c r="B6">
        <v>1</v>
      </c>
      <c r="C6" t="s">
        <v>14</v>
      </c>
      <c r="D6">
        <v>16</v>
      </c>
      <c r="E6">
        <v>4</v>
      </c>
      <c r="F6">
        <v>4673</v>
      </c>
      <c r="G6">
        <v>19187</v>
      </c>
      <c r="H6" s="8">
        <v>0.24355032052952519</v>
      </c>
      <c r="I6" s="12">
        <v>9.2813000000000007E-2</v>
      </c>
      <c r="J6" s="10">
        <v>6073</v>
      </c>
      <c r="K6" s="12">
        <v>0.67215499999999995</v>
      </c>
      <c r="L6" s="12">
        <v>0.88854999999999995</v>
      </c>
      <c r="M6">
        <v>0.23</v>
      </c>
    </row>
    <row r="7" spans="1:13" x14ac:dyDescent="0.35">
      <c r="A7" t="s">
        <v>19</v>
      </c>
      <c r="B7">
        <v>1</v>
      </c>
      <c r="C7" t="s">
        <v>14</v>
      </c>
      <c r="D7">
        <v>16</v>
      </c>
      <c r="E7">
        <v>4</v>
      </c>
      <c r="F7">
        <v>4414</v>
      </c>
      <c r="G7">
        <v>17186</v>
      </c>
      <c r="H7" s="8">
        <v>0.25683696031653669</v>
      </c>
      <c r="I7" s="12">
        <v>4.3461E-2</v>
      </c>
      <c r="J7" s="10">
        <v>5452</v>
      </c>
      <c r="K7" s="12">
        <v>0.46771800000000002</v>
      </c>
      <c r="L7" s="12">
        <v>0.89630900000000002</v>
      </c>
      <c r="M7">
        <v>0.21</v>
      </c>
    </row>
    <row r="8" spans="1:13" x14ac:dyDescent="0.35">
      <c r="A8" t="s">
        <v>20</v>
      </c>
      <c r="B8">
        <v>1</v>
      </c>
      <c r="C8" t="s">
        <v>14</v>
      </c>
      <c r="D8">
        <v>16</v>
      </c>
      <c r="E8">
        <v>4</v>
      </c>
      <c r="F8">
        <v>6277</v>
      </c>
      <c r="G8">
        <v>14840</v>
      </c>
      <c r="H8" s="8">
        <v>0.42297843665768192</v>
      </c>
      <c r="I8" s="12">
        <v>3.1250000000000002E-3</v>
      </c>
      <c r="J8" s="10">
        <v>55</v>
      </c>
      <c r="K8" s="12">
        <v>0.163636</v>
      </c>
      <c r="L8" s="12">
        <v>0.39130399999999999</v>
      </c>
      <c r="M8">
        <v>0.17</v>
      </c>
    </row>
    <row r="9" spans="1:13" x14ac:dyDescent="0.35">
      <c r="A9" t="s">
        <v>21</v>
      </c>
      <c r="B9">
        <v>1</v>
      </c>
      <c r="C9" t="s">
        <v>14</v>
      </c>
      <c r="D9">
        <v>16</v>
      </c>
      <c r="E9">
        <v>4</v>
      </c>
      <c r="F9">
        <v>5379</v>
      </c>
      <c r="G9">
        <v>17189</v>
      </c>
      <c r="H9" s="8">
        <v>0.31293268951073361</v>
      </c>
      <c r="I9" s="12">
        <v>2.6151000000000001E-2</v>
      </c>
      <c r="J9" s="10">
        <v>3856</v>
      </c>
      <c r="K9" s="12">
        <v>0.79227199999999998</v>
      </c>
      <c r="L9" s="12">
        <v>0.91385000000000005</v>
      </c>
      <c r="M9">
        <v>0.21</v>
      </c>
    </row>
    <row r="10" spans="1:13" x14ac:dyDescent="0.35">
      <c r="A10" t="s">
        <v>13</v>
      </c>
      <c r="B10">
        <v>1</v>
      </c>
      <c r="C10" t="s">
        <v>14</v>
      </c>
      <c r="D10">
        <v>32</v>
      </c>
      <c r="E10">
        <v>4</v>
      </c>
      <c r="F10">
        <v>5058</v>
      </c>
      <c r="G10">
        <v>24019</v>
      </c>
      <c r="H10" s="8">
        <v>0.2105832882301511</v>
      </c>
      <c r="I10" s="12">
        <v>0.12828899999999999</v>
      </c>
      <c r="J10" s="10">
        <v>4462</v>
      </c>
      <c r="K10" s="12">
        <v>0.387046</v>
      </c>
      <c r="L10" s="12">
        <v>0.65268300000000001</v>
      </c>
      <c r="M10">
        <v>0.23</v>
      </c>
    </row>
    <row r="11" spans="1:13" x14ac:dyDescent="0.35">
      <c r="A11" t="s">
        <v>15</v>
      </c>
      <c r="B11">
        <v>1</v>
      </c>
      <c r="C11" t="s">
        <v>14</v>
      </c>
      <c r="D11">
        <v>32</v>
      </c>
      <c r="E11">
        <v>4</v>
      </c>
      <c r="F11">
        <v>4417</v>
      </c>
      <c r="G11">
        <v>18540</v>
      </c>
      <c r="H11" s="8">
        <v>0.2382416396979504</v>
      </c>
      <c r="I11" s="12">
        <v>0.24296899999999999</v>
      </c>
      <c r="J11" s="10">
        <v>5941</v>
      </c>
      <c r="K11" s="12">
        <v>0.60158199999999995</v>
      </c>
      <c r="L11" s="12">
        <v>0.88750899999999999</v>
      </c>
      <c r="M11">
        <v>0.22</v>
      </c>
    </row>
    <row r="12" spans="1:13" x14ac:dyDescent="0.35">
      <c r="A12" t="s">
        <v>16</v>
      </c>
      <c r="B12">
        <v>1</v>
      </c>
      <c r="C12" t="s">
        <v>14</v>
      </c>
      <c r="D12">
        <v>32</v>
      </c>
      <c r="E12">
        <v>4</v>
      </c>
      <c r="F12">
        <v>3696</v>
      </c>
      <c r="G12">
        <v>19194</v>
      </c>
      <c r="H12" s="8">
        <v>0.1925601750547046</v>
      </c>
      <c r="I12" s="12">
        <v>4.1392999999999999E-2</v>
      </c>
      <c r="J12" s="10">
        <v>5319</v>
      </c>
      <c r="K12" s="12">
        <v>0.47546500000000003</v>
      </c>
      <c r="L12" s="12">
        <v>0.88643499999999997</v>
      </c>
      <c r="M12">
        <v>0.2</v>
      </c>
    </row>
    <row r="13" spans="1:13" x14ac:dyDescent="0.35">
      <c r="A13" t="s">
        <v>17</v>
      </c>
      <c r="B13">
        <v>1</v>
      </c>
      <c r="C13" t="s">
        <v>14</v>
      </c>
      <c r="D13">
        <v>32</v>
      </c>
      <c r="E13">
        <v>4</v>
      </c>
      <c r="F13">
        <v>3455</v>
      </c>
      <c r="G13">
        <v>29960</v>
      </c>
      <c r="H13" s="8">
        <v>0.1153204272363151</v>
      </c>
      <c r="I13" s="12">
        <v>3.2781999999999999E-2</v>
      </c>
      <c r="J13" s="10">
        <v>8782</v>
      </c>
      <c r="K13" s="12">
        <v>0.40514699999999998</v>
      </c>
      <c r="L13" s="12">
        <v>0.941021</v>
      </c>
      <c r="M13">
        <v>0.28999999999999998</v>
      </c>
    </row>
    <row r="14" spans="1:13" x14ac:dyDescent="0.35">
      <c r="A14" t="s">
        <v>18</v>
      </c>
      <c r="B14">
        <v>1</v>
      </c>
      <c r="C14" t="s">
        <v>14</v>
      </c>
      <c r="D14">
        <v>32</v>
      </c>
      <c r="E14">
        <v>4</v>
      </c>
      <c r="F14">
        <v>4673</v>
      </c>
      <c r="G14">
        <v>19187</v>
      </c>
      <c r="H14" s="8">
        <v>0.24355032052952519</v>
      </c>
      <c r="I14" s="12">
        <v>9.2813000000000007E-2</v>
      </c>
      <c r="J14" s="10">
        <v>6073</v>
      </c>
      <c r="K14" s="12">
        <v>0.67215499999999995</v>
      </c>
      <c r="L14" s="12">
        <v>0.88854999999999995</v>
      </c>
      <c r="M14">
        <v>0.24</v>
      </c>
    </row>
    <row r="15" spans="1:13" x14ac:dyDescent="0.35">
      <c r="A15" t="s">
        <v>19</v>
      </c>
      <c r="B15">
        <v>1</v>
      </c>
      <c r="C15" t="s">
        <v>14</v>
      </c>
      <c r="D15">
        <v>32</v>
      </c>
      <c r="E15">
        <v>4</v>
      </c>
      <c r="F15">
        <v>4414</v>
      </c>
      <c r="G15">
        <v>17186</v>
      </c>
      <c r="H15" s="8">
        <v>0.25683696031653669</v>
      </c>
      <c r="I15" s="12">
        <v>4.3461E-2</v>
      </c>
      <c r="J15" s="10">
        <v>5452</v>
      </c>
      <c r="K15" s="12">
        <v>0.46771800000000002</v>
      </c>
      <c r="L15" s="12">
        <v>0.89630900000000002</v>
      </c>
      <c r="M15">
        <v>0.24</v>
      </c>
    </row>
    <row r="16" spans="1:13" x14ac:dyDescent="0.35">
      <c r="A16" t="s">
        <v>20</v>
      </c>
      <c r="B16">
        <v>1</v>
      </c>
      <c r="C16" t="s">
        <v>14</v>
      </c>
      <c r="D16">
        <v>32</v>
      </c>
      <c r="E16">
        <v>4</v>
      </c>
      <c r="F16">
        <v>6277</v>
      </c>
      <c r="G16">
        <v>14840</v>
      </c>
      <c r="H16" s="8">
        <v>0.42297843665768192</v>
      </c>
      <c r="I16" s="12">
        <v>3.1250000000000002E-3</v>
      </c>
      <c r="J16" s="10">
        <v>55</v>
      </c>
      <c r="K16" s="12">
        <v>0.163636</v>
      </c>
      <c r="L16" s="12">
        <v>0.39130399999999999</v>
      </c>
      <c r="M16">
        <v>0.18</v>
      </c>
    </row>
    <row r="17" spans="1:13" x14ac:dyDescent="0.35">
      <c r="A17" t="s">
        <v>21</v>
      </c>
      <c r="B17">
        <v>1</v>
      </c>
      <c r="C17" t="s">
        <v>14</v>
      </c>
      <c r="D17">
        <v>32</v>
      </c>
      <c r="E17">
        <v>4</v>
      </c>
      <c r="F17">
        <v>5379</v>
      </c>
      <c r="G17">
        <v>17189</v>
      </c>
      <c r="H17" s="8">
        <v>0.31293268951073361</v>
      </c>
      <c r="I17" s="12">
        <v>2.6151000000000001E-2</v>
      </c>
      <c r="J17" s="10">
        <v>3856</v>
      </c>
      <c r="K17" s="12">
        <v>0.79227199999999998</v>
      </c>
      <c r="L17" s="12">
        <v>0.91385000000000005</v>
      </c>
      <c r="M17">
        <v>0.22</v>
      </c>
    </row>
    <row r="18" spans="1:13" x14ac:dyDescent="0.35">
      <c r="A18" t="s">
        <v>13</v>
      </c>
      <c r="B18">
        <v>1</v>
      </c>
      <c r="C18" t="s">
        <v>14</v>
      </c>
      <c r="D18">
        <v>64</v>
      </c>
      <c r="E18">
        <v>4</v>
      </c>
      <c r="F18">
        <v>5058</v>
      </c>
      <c r="G18">
        <v>24019</v>
      </c>
      <c r="H18" s="8">
        <v>0.2105832882301511</v>
      </c>
      <c r="I18" s="12">
        <v>0.12828899999999999</v>
      </c>
      <c r="J18" s="10">
        <v>4462</v>
      </c>
      <c r="K18" s="12">
        <v>0.387046</v>
      </c>
      <c r="L18" s="12">
        <v>0.65268300000000001</v>
      </c>
      <c r="M18">
        <v>0.23</v>
      </c>
    </row>
    <row r="19" spans="1:13" x14ac:dyDescent="0.35">
      <c r="A19" t="s">
        <v>15</v>
      </c>
      <c r="B19">
        <v>1</v>
      </c>
      <c r="C19" t="s">
        <v>14</v>
      </c>
      <c r="D19">
        <v>64</v>
      </c>
      <c r="E19">
        <v>4</v>
      </c>
      <c r="F19">
        <v>4417</v>
      </c>
      <c r="G19">
        <v>18540</v>
      </c>
      <c r="H19" s="8">
        <v>0.2382416396979504</v>
      </c>
      <c r="I19" s="12">
        <v>0.24296899999999999</v>
      </c>
      <c r="J19" s="10">
        <v>5941</v>
      </c>
      <c r="K19" s="12">
        <v>0.60158199999999995</v>
      </c>
      <c r="L19" s="12">
        <v>0.88750899999999999</v>
      </c>
      <c r="M19">
        <v>0.24</v>
      </c>
    </row>
    <row r="20" spans="1:13" x14ac:dyDescent="0.35">
      <c r="A20" t="s">
        <v>16</v>
      </c>
      <c r="B20">
        <v>1</v>
      </c>
      <c r="C20" t="s">
        <v>14</v>
      </c>
      <c r="D20">
        <v>64</v>
      </c>
      <c r="E20">
        <v>4</v>
      </c>
      <c r="F20">
        <v>3696</v>
      </c>
      <c r="G20">
        <v>19194</v>
      </c>
      <c r="H20" s="8">
        <v>0.1925601750547046</v>
      </c>
      <c r="I20" s="12">
        <v>4.1392999999999999E-2</v>
      </c>
      <c r="J20" s="10">
        <v>5319</v>
      </c>
      <c r="K20" s="12">
        <v>0.47546500000000003</v>
      </c>
      <c r="L20" s="12">
        <v>0.88643499999999997</v>
      </c>
      <c r="M20">
        <v>0.23</v>
      </c>
    </row>
    <row r="21" spans="1:13" x14ac:dyDescent="0.35">
      <c r="A21" t="s">
        <v>17</v>
      </c>
      <c r="B21">
        <v>1</v>
      </c>
      <c r="C21" t="s">
        <v>14</v>
      </c>
      <c r="D21">
        <v>64</v>
      </c>
      <c r="E21">
        <v>4</v>
      </c>
      <c r="F21">
        <v>3455</v>
      </c>
      <c r="G21">
        <v>29960</v>
      </c>
      <c r="H21" s="8">
        <v>0.1153204272363151</v>
      </c>
      <c r="I21" s="12">
        <v>3.2781999999999999E-2</v>
      </c>
      <c r="J21" s="10">
        <v>8782</v>
      </c>
      <c r="K21" s="12">
        <v>0.40514699999999998</v>
      </c>
      <c r="L21" s="12">
        <v>0.941021</v>
      </c>
      <c r="M21">
        <v>0.33</v>
      </c>
    </row>
    <row r="22" spans="1:13" x14ac:dyDescent="0.35">
      <c r="A22" t="s">
        <v>18</v>
      </c>
      <c r="B22">
        <v>1</v>
      </c>
      <c r="C22" t="s">
        <v>14</v>
      </c>
      <c r="D22">
        <v>64</v>
      </c>
      <c r="E22">
        <v>4</v>
      </c>
      <c r="F22">
        <v>4673</v>
      </c>
      <c r="G22">
        <v>19187</v>
      </c>
      <c r="H22" s="8">
        <v>0.24355032052952519</v>
      </c>
      <c r="I22" s="12">
        <v>9.2813000000000007E-2</v>
      </c>
      <c r="J22" s="10">
        <v>6073</v>
      </c>
      <c r="K22" s="12">
        <v>0.67215499999999995</v>
      </c>
      <c r="L22" s="12">
        <v>0.88854999999999995</v>
      </c>
      <c r="M22">
        <v>0.25</v>
      </c>
    </row>
    <row r="23" spans="1:13" x14ac:dyDescent="0.35">
      <c r="A23" t="s">
        <v>19</v>
      </c>
      <c r="B23">
        <v>1</v>
      </c>
      <c r="C23" t="s">
        <v>14</v>
      </c>
      <c r="D23">
        <v>64</v>
      </c>
      <c r="E23">
        <v>4</v>
      </c>
      <c r="F23">
        <v>4414</v>
      </c>
      <c r="G23">
        <v>17186</v>
      </c>
      <c r="H23" s="8">
        <v>0.25683696031653669</v>
      </c>
      <c r="I23" s="12">
        <v>4.3461E-2</v>
      </c>
      <c r="J23" s="10">
        <v>5452</v>
      </c>
      <c r="K23" s="12">
        <v>0.46771800000000002</v>
      </c>
      <c r="L23" s="12">
        <v>0.89630900000000002</v>
      </c>
      <c r="M23">
        <v>0.23</v>
      </c>
    </row>
    <row r="24" spans="1:13" x14ac:dyDescent="0.35">
      <c r="A24" t="s">
        <v>20</v>
      </c>
      <c r="B24">
        <v>1</v>
      </c>
      <c r="C24" t="s">
        <v>14</v>
      </c>
      <c r="D24">
        <v>64</v>
      </c>
      <c r="E24">
        <v>4</v>
      </c>
      <c r="F24">
        <v>6277</v>
      </c>
      <c r="G24">
        <v>14840</v>
      </c>
      <c r="H24" s="8">
        <v>0.42297843665768192</v>
      </c>
      <c r="I24" s="12">
        <v>3.1250000000000002E-3</v>
      </c>
      <c r="J24" s="10">
        <v>55</v>
      </c>
      <c r="K24" s="12">
        <v>0.163636</v>
      </c>
      <c r="L24" s="12">
        <v>0.39130399999999999</v>
      </c>
      <c r="M24">
        <v>0.18</v>
      </c>
    </row>
    <row r="25" spans="1:13" x14ac:dyDescent="0.35">
      <c r="A25" t="s">
        <v>21</v>
      </c>
      <c r="B25">
        <v>1</v>
      </c>
      <c r="C25" t="s">
        <v>14</v>
      </c>
      <c r="D25">
        <v>64</v>
      </c>
      <c r="E25">
        <v>4</v>
      </c>
      <c r="F25">
        <v>5379</v>
      </c>
      <c r="G25">
        <v>17189</v>
      </c>
      <c r="H25" s="8">
        <v>0.31293268951073361</v>
      </c>
      <c r="I25" s="12">
        <v>2.6151000000000001E-2</v>
      </c>
      <c r="J25" s="10">
        <v>3856</v>
      </c>
      <c r="K25" s="12">
        <v>0.79227199999999998</v>
      </c>
      <c r="L25" s="12">
        <v>0.91385000000000005</v>
      </c>
      <c r="M25">
        <v>0.23</v>
      </c>
    </row>
    <row r="26" spans="1:13" x14ac:dyDescent="0.35">
      <c r="A26" t="s">
        <v>13</v>
      </c>
      <c r="B26">
        <v>1</v>
      </c>
      <c r="C26" t="s">
        <v>14</v>
      </c>
      <c r="D26">
        <v>16</v>
      </c>
      <c r="E26">
        <v>16</v>
      </c>
      <c r="F26">
        <v>5058</v>
      </c>
      <c r="G26">
        <v>21810</v>
      </c>
      <c r="H26" s="8">
        <v>0.23191196698762029</v>
      </c>
      <c r="I26" s="12">
        <v>6.8256999999999998E-2</v>
      </c>
      <c r="J26" s="10">
        <v>12121</v>
      </c>
      <c r="K26" s="12">
        <v>0.184638</v>
      </c>
      <c r="L26" s="12">
        <v>0.81204600000000005</v>
      </c>
      <c r="M26">
        <v>0.23</v>
      </c>
    </row>
    <row r="27" spans="1:13" x14ac:dyDescent="0.35">
      <c r="A27" t="s">
        <v>15</v>
      </c>
      <c r="B27">
        <v>1</v>
      </c>
      <c r="C27" t="s">
        <v>14</v>
      </c>
      <c r="D27">
        <v>16</v>
      </c>
      <c r="E27">
        <v>16</v>
      </c>
      <c r="F27">
        <v>4417</v>
      </c>
      <c r="G27">
        <v>20359</v>
      </c>
      <c r="H27" s="8">
        <v>0.2169556461515792</v>
      </c>
      <c r="I27" s="12">
        <v>9.776E-2</v>
      </c>
      <c r="J27" s="10">
        <v>13244</v>
      </c>
      <c r="K27" s="12">
        <v>0.27068900000000001</v>
      </c>
      <c r="L27" s="12">
        <v>0.75125699999999995</v>
      </c>
      <c r="M27">
        <v>0.24</v>
      </c>
    </row>
    <row r="28" spans="1:13" x14ac:dyDescent="0.35">
      <c r="A28" t="s">
        <v>16</v>
      </c>
      <c r="B28">
        <v>1</v>
      </c>
      <c r="C28" t="s">
        <v>14</v>
      </c>
      <c r="D28">
        <v>16</v>
      </c>
      <c r="E28">
        <v>16</v>
      </c>
      <c r="F28">
        <v>3696</v>
      </c>
      <c r="G28">
        <v>19313</v>
      </c>
      <c r="H28" s="8">
        <v>0.19137368611815869</v>
      </c>
      <c r="I28" s="12">
        <v>4.3639999999999998E-2</v>
      </c>
      <c r="J28" s="10">
        <v>17358</v>
      </c>
      <c r="K28" s="12">
        <v>0.149614</v>
      </c>
      <c r="L28" s="12">
        <v>0.90708999999999995</v>
      </c>
      <c r="M28">
        <v>0.22</v>
      </c>
    </row>
    <row r="29" spans="1:13" x14ac:dyDescent="0.35">
      <c r="A29" t="s">
        <v>17</v>
      </c>
      <c r="B29">
        <v>1</v>
      </c>
      <c r="C29" t="s">
        <v>14</v>
      </c>
      <c r="D29">
        <v>16</v>
      </c>
      <c r="E29">
        <v>16</v>
      </c>
      <c r="F29">
        <v>3455</v>
      </c>
      <c r="G29">
        <v>30365</v>
      </c>
      <c r="H29" s="8">
        <v>0.11378231516548661</v>
      </c>
      <c r="I29" s="12">
        <v>3.6581000000000002E-2</v>
      </c>
      <c r="J29" s="10">
        <v>30420</v>
      </c>
      <c r="K29" s="12">
        <v>0.11791600000000001</v>
      </c>
      <c r="L29" s="12">
        <v>0.94369899999999995</v>
      </c>
      <c r="M29">
        <v>0.28999999999999998</v>
      </c>
    </row>
    <row r="30" spans="1:13" x14ac:dyDescent="0.35">
      <c r="A30" t="s">
        <v>18</v>
      </c>
      <c r="B30">
        <v>1</v>
      </c>
      <c r="C30" t="s">
        <v>14</v>
      </c>
      <c r="D30">
        <v>16</v>
      </c>
      <c r="E30">
        <v>16</v>
      </c>
      <c r="F30">
        <v>4673</v>
      </c>
      <c r="G30">
        <v>20506</v>
      </c>
      <c r="H30" s="8">
        <v>0.22788452160343309</v>
      </c>
      <c r="I30" s="12">
        <v>0.101823</v>
      </c>
      <c r="J30" s="10">
        <v>16158</v>
      </c>
      <c r="K30" s="12">
        <v>0.236044</v>
      </c>
      <c r="L30" s="12">
        <v>0.79840900000000004</v>
      </c>
      <c r="M30">
        <v>0.25</v>
      </c>
    </row>
    <row r="31" spans="1:13" x14ac:dyDescent="0.35">
      <c r="A31" t="s">
        <v>19</v>
      </c>
      <c r="B31">
        <v>1</v>
      </c>
      <c r="C31" t="s">
        <v>14</v>
      </c>
      <c r="D31">
        <v>16</v>
      </c>
      <c r="E31">
        <v>16</v>
      </c>
      <c r="F31">
        <v>4414</v>
      </c>
      <c r="G31">
        <v>17538</v>
      </c>
      <c r="H31" s="8">
        <v>0.25168206180864411</v>
      </c>
      <c r="I31" s="12">
        <v>4.9883999999999998E-2</v>
      </c>
      <c r="J31" s="10">
        <v>17442</v>
      </c>
      <c r="K31" s="12">
        <v>0.14751700000000001</v>
      </c>
      <c r="L31" s="12">
        <v>0.89964999999999995</v>
      </c>
      <c r="M31">
        <v>0.22</v>
      </c>
    </row>
    <row r="32" spans="1:13" x14ac:dyDescent="0.35">
      <c r="A32" t="s">
        <v>20</v>
      </c>
      <c r="B32">
        <v>1</v>
      </c>
      <c r="C32" t="s">
        <v>14</v>
      </c>
      <c r="D32">
        <v>16</v>
      </c>
      <c r="E32">
        <v>16</v>
      </c>
      <c r="F32">
        <v>6277</v>
      </c>
      <c r="G32">
        <v>14905</v>
      </c>
      <c r="H32" s="8">
        <v>0.42113384770211337</v>
      </c>
      <c r="I32" s="12">
        <v>4.3059999999999999E-3</v>
      </c>
      <c r="J32" s="10">
        <v>82</v>
      </c>
      <c r="K32" s="12">
        <v>8.5365999999999997E-2</v>
      </c>
      <c r="L32" s="12">
        <v>0.30434800000000001</v>
      </c>
      <c r="M32">
        <v>0.17</v>
      </c>
    </row>
    <row r="33" spans="1:13" x14ac:dyDescent="0.35">
      <c r="A33" t="s">
        <v>21</v>
      </c>
      <c r="B33">
        <v>1</v>
      </c>
      <c r="C33" t="s">
        <v>14</v>
      </c>
      <c r="D33">
        <v>16</v>
      </c>
      <c r="E33">
        <v>16</v>
      </c>
      <c r="F33">
        <v>5379</v>
      </c>
      <c r="G33">
        <v>17785</v>
      </c>
      <c r="H33" s="8">
        <v>0.30244588136069722</v>
      </c>
      <c r="I33" s="12">
        <v>5.1534999999999997E-2</v>
      </c>
      <c r="J33" s="10">
        <v>9954</v>
      </c>
      <c r="K33" s="12">
        <v>0.25838899999999998</v>
      </c>
      <c r="L33" s="12">
        <v>0.798014</v>
      </c>
      <c r="M33">
        <v>0.24</v>
      </c>
    </row>
    <row r="34" spans="1:13" x14ac:dyDescent="0.35">
      <c r="A34" t="s">
        <v>13</v>
      </c>
      <c r="B34">
        <v>1</v>
      </c>
      <c r="C34" t="s">
        <v>14</v>
      </c>
      <c r="D34">
        <v>16</v>
      </c>
      <c r="E34">
        <v>32</v>
      </c>
      <c r="F34">
        <v>5058</v>
      </c>
      <c r="G34">
        <v>21157</v>
      </c>
      <c r="H34" s="8">
        <v>0.23906981140993519</v>
      </c>
      <c r="I34" s="12">
        <v>7.5658000000000003E-2</v>
      </c>
      <c r="J34" s="10">
        <v>15671</v>
      </c>
      <c r="K34" s="12">
        <v>0.1386</v>
      </c>
      <c r="L34" s="12">
        <v>0.78439899999999996</v>
      </c>
      <c r="M34">
        <v>0.23</v>
      </c>
    </row>
    <row r="35" spans="1:13" x14ac:dyDescent="0.35">
      <c r="A35" t="s">
        <v>15</v>
      </c>
      <c r="B35">
        <v>1</v>
      </c>
      <c r="C35" t="s">
        <v>14</v>
      </c>
      <c r="D35">
        <v>16</v>
      </c>
      <c r="E35">
        <v>32</v>
      </c>
      <c r="F35">
        <v>4417</v>
      </c>
      <c r="G35">
        <v>22025</v>
      </c>
      <c r="H35" s="8">
        <v>0.2005448354143019</v>
      </c>
      <c r="I35" s="12">
        <v>0.13661499999999999</v>
      </c>
      <c r="J35" s="10">
        <v>16147</v>
      </c>
      <c r="K35" s="12">
        <v>0.17377799999999999</v>
      </c>
      <c r="L35" s="12">
        <v>0.58789000000000002</v>
      </c>
      <c r="M35">
        <v>0.25</v>
      </c>
    </row>
    <row r="36" spans="1:13" x14ac:dyDescent="0.35">
      <c r="A36" t="s">
        <v>16</v>
      </c>
      <c r="B36">
        <v>1</v>
      </c>
      <c r="C36" t="s">
        <v>14</v>
      </c>
      <c r="D36">
        <v>16</v>
      </c>
      <c r="E36">
        <v>32</v>
      </c>
      <c r="F36">
        <v>3696</v>
      </c>
      <c r="G36">
        <v>19502</v>
      </c>
      <c r="H36" s="8">
        <v>0.189519023689878</v>
      </c>
      <c r="I36" s="12">
        <v>6.5461000000000005E-2</v>
      </c>
      <c r="J36" s="10">
        <v>23134</v>
      </c>
      <c r="K36" s="12">
        <v>0.103311</v>
      </c>
      <c r="L36" s="12">
        <v>0.83566399999999996</v>
      </c>
      <c r="M36">
        <v>0.23</v>
      </c>
    </row>
    <row r="37" spans="1:13" x14ac:dyDescent="0.35">
      <c r="A37" t="s">
        <v>17</v>
      </c>
      <c r="B37">
        <v>1</v>
      </c>
      <c r="C37" t="s">
        <v>14</v>
      </c>
      <c r="D37">
        <v>16</v>
      </c>
      <c r="E37">
        <v>32</v>
      </c>
      <c r="F37">
        <v>3455</v>
      </c>
      <c r="G37">
        <v>31211</v>
      </c>
      <c r="H37" s="8">
        <v>0.11069815129281339</v>
      </c>
      <c r="I37" s="12">
        <v>5.6832000000000001E-2</v>
      </c>
      <c r="J37" s="10">
        <v>41283</v>
      </c>
      <c r="K37" s="12">
        <v>7.8603999999999993E-2</v>
      </c>
      <c r="L37" s="12">
        <v>0.85372300000000001</v>
      </c>
      <c r="M37">
        <v>0.32</v>
      </c>
    </row>
    <row r="38" spans="1:13" x14ac:dyDescent="0.35">
      <c r="A38" t="s">
        <v>18</v>
      </c>
      <c r="B38">
        <v>1</v>
      </c>
      <c r="C38" t="s">
        <v>14</v>
      </c>
      <c r="D38">
        <v>16</v>
      </c>
      <c r="E38">
        <v>32</v>
      </c>
      <c r="F38">
        <v>4673</v>
      </c>
      <c r="G38">
        <v>23007</v>
      </c>
      <c r="H38" s="8">
        <v>0.20311209631851179</v>
      </c>
      <c r="I38" s="12">
        <v>0.123906</v>
      </c>
      <c r="J38" s="10">
        <v>23605</v>
      </c>
      <c r="K38" s="12">
        <v>0.13111600000000001</v>
      </c>
      <c r="L38" s="12">
        <v>0.64884699999999995</v>
      </c>
      <c r="M38">
        <v>0.27</v>
      </c>
    </row>
    <row r="39" spans="1:13" x14ac:dyDescent="0.35">
      <c r="A39" t="s">
        <v>19</v>
      </c>
      <c r="B39">
        <v>1</v>
      </c>
      <c r="C39" t="s">
        <v>14</v>
      </c>
      <c r="D39">
        <v>16</v>
      </c>
      <c r="E39">
        <v>32</v>
      </c>
      <c r="F39">
        <v>4414</v>
      </c>
      <c r="G39">
        <v>19594</v>
      </c>
      <c r="H39" s="8">
        <v>0.22527304276819429</v>
      </c>
      <c r="I39" s="12">
        <v>8.9987999999999999E-2</v>
      </c>
      <c r="J39" s="10">
        <v>22710</v>
      </c>
      <c r="K39" s="12">
        <v>9.4848000000000002E-2</v>
      </c>
      <c r="L39" s="12">
        <v>0.75578900000000004</v>
      </c>
      <c r="M39">
        <v>0.24</v>
      </c>
    </row>
    <row r="40" spans="1:13" x14ac:dyDescent="0.35">
      <c r="A40" t="s">
        <v>20</v>
      </c>
      <c r="B40">
        <v>1</v>
      </c>
      <c r="C40" t="s">
        <v>14</v>
      </c>
      <c r="D40">
        <v>16</v>
      </c>
      <c r="E40">
        <v>32</v>
      </c>
      <c r="F40">
        <v>6277</v>
      </c>
      <c r="G40">
        <v>14913</v>
      </c>
      <c r="H40" s="8">
        <v>0.42090793267618848</v>
      </c>
      <c r="I40" s="12">
        <v>4.7219999999999996E-3</v>
      </c>
      <c r="J40" s="10">
        <v>103</v>
      </c>
      <c r="K40" s="12">
        <v>7.7670000000000003E-2</v>
      </c>
      <c r="L40" s="12">
        <v>0.32</v>
      </c>
      <c r="M40">
        <v>0.18</v>
      </c>
    </row>
    <row r="41" spans="1:13" x14ac:dyDescent="0.35">
      <c r="A41" t="s">
        <v>21</v>
      </c>
      <c r="B41">
        <v>1</v>
      </c>
      <c r="C41" t="s">
        <v>14</v>
      </c>
      <c r="D41">
        <v>16</v>
      </c>
      <c r="E41">
        <v>32</v>
      </c>
      <c r="F41">
        <v>5379</v>
      </c>
      <c r="G41">
        <v>18828</v>
      </c>
      <c r="H41" s="8">
        <v>0.285691523263225</v>
      </c>
      <c r="I41" s="12">
        <v>0.10224800000000001</v>
      </c>
      <c r="J41" s="10">
        <v>12332</v>
      </c>
      <c r="K41" s="12">
        <v>0.157558</v>
      </c>
      <c r="L41" s="12">
        <v>0.579654</v>
      </c>
      <c r="M41">
        <v>0.26</v>
      </c>
    </row>
    <row r="42" spans="1:13" x14ac:dyDescent="0.35">
      <c r="A42" t="s">
        <v>13</v>
      </c>
      <c r="B42">
        <v>5</v>
      </c>
      <c r="C42" t="s">
        <v>14</v>
      </c>
      <c r="D42">
        <v>16</v>
      </c>
      <c r="E42">
        <v>4</v>
      </c>
      <c r="F42">
        <v>24798</v>
      </c>
      <c r="G42">
        <v>97534</v>
      </c>
      <c r="H42" s="8">
        <v>0.25424980006971931</v>
      </c>
      <c r="I42" s="12">
        <v>0.15229000000000001</v>
      </c>
      <c r="J42" s="10">
        <v>22354</v>
      </c>
      <c r="K42" s="12">
        <v>0.37532399999999999</v>
      </c>
      <c r="L42" s="12">
        <v>0.63758599999999999</v>
      </c>
      <c r="M42">
        <v>0.8</v>
      </c>
    </row>
    <row r="43" spans="1:13" x14ac:dyDescent="0.35">
      <c r="A43" t="s">
        <v>15</v>
      </c>
      <c r="B43">
        <v>5</v>
      </c>
      <c r="C43" t="s">
        <v>14</v>
      </c>
      <c r="D43">
        <v>16</v>
      </c>
      <c r="E43">
        <v>4</v>
      </c>
      <c r="F43">
        <v>21825</v>
      </c>
      <c r="G43">
        <v>91345</v>
      </c>
      <c r="H43" s="8">
        <v>0.238929333844217</v>
      </c>
      <c r="I43" s="12">
        <v>0.236979</v>
      </c>
      <c r="J43" s="10">
        <v>29795</v>
      </c>
      <c r="K43" s="12">
        <v>0.60641</v>
      </c>
      <c r="L43" s="12">
        <v>0.89472099999999999</v>
      </c>
      <c r="M43">
        <v>-1.27</v>
      </c>
    </row>
    <row r="44" spans="1:13" x14ac:dyDescent="0.35">
      <c r="A44" t="s">
        <v>16</v>
      </c>
      <c r="B44">
        <v>5</v>
      </c>
      <c r="C44" t="s">
        <v>14</v>
      </c>
      <c r="D44">
        <v>16</v>
      </c>
      <c r="E44">
        <v>4</v>
      </c>
      <c r="F44">
        <v>18222</v>
      </c>
      <c r="G44">
        <v>95390</v>
      </c>
      <c r="H44" s="8">
        <v>0.19102631303071599</v>
      </c>
      <c r="I44" s="12">
        <v>4.2202999999999997E-2</v>
      </c>
      <c r="J44" s="10">
        <v>26733</v>
      </c>
      <c r="K44" s="12">
        <v>0.47428300000000001</v>
      </c>
      <c r="L44" s="12">
        <v>0.88757399999999997</v>
      </c>
      <c r="M44">
        <v>1.04</v>
      </c>
    </row>
    <row r="45" spans="1:13" x14ac:dyDescent="0.35">
      <c r="A45" t="s">
        <v>17</v>
      </c>
      <c r="B45">
        <v>5</v>
      </c>
      <c r="C45" t="s">
        <v>14</v>
      </c>
      <c r="D45">
        <v>16</v>
      </c>
      <c r="E45">
        <v>4</v>
      </c>
      <c r="F45">
        <v>17007</v>
      </c>
      <c r="G45">
        <v>148746</v>
      </c>
      <c r="H45" s="8">
        <v>0.1143358476866605</v>
      </c>
      <c r="I45" s="12">
        <v>3.3640000000000003E-2</v>
      </c>
      <c r="J45" s="10">
        <v>44385</v>
      </c>
      <c r="K45" s="12">
        <v>0.40288400000000002</v>
      </c>
      <c r="L45" s="12">
        <v>0.94548699999999997</v>
      </c>
      <c r="M45">
        <v>1.21</v>
      </c>
    </row>
    <row r="46" spans="1:13" x14ac:dyDescent="0.35">
      <c r="A46" t="s">
        <v>18</v>
      </c>
      <c r="B46">
        <v>5</v>
      </c>
      <c r="C46" t="s">
        <v>14</v>
      </c>
      <c r="D46">
        <v>16</v>
      </c>
      <c r="E46">
        <v>4</v>
      </c>
      <c r="F46">
        <v>23056</v>
      </c>
      <c r="G46">
        <v>94562</v>
      </c>
      <c r="H46" s="8">
        <v>0.2438188701592606</v>
      </c>
      <c r="I46" s="12">
        <v>8.5625000000000007E-2</v>
      </c>
      <c r="J46" s="10">
        <v>30757</v>
      </c>
      <c r="K46" s="12">
        <v>0.668076</v>
      </c>
      <c r="L46" s="12">
        <v>0.89122100000000004</v>
      </c>
      <c r="M46">
        <v>0.84</v>
      </c>
    </row>
    <row r="47" spans="1:13" x14ac:dyDescent="0.35">
      <c r="A47" t="s">
        <v>19</v>
      </c>
      <c r="B47">
        <v>5</v>
      </c>
      <c r="C47" t="s">
        <v>14</v>
      </c>
      <c r="D47">
        <v>16</v>
      </c>
      <c r="E47">
        <v>4</v>
      </c>
      <c r="F47">
        <v>21810</v>
      </c>
      <c r="G47">
        <v>84821</v>
      </c>
      <c r="H47" s="8">
        <v>0.25712972023437591</v>
      </c>
      <c r="I47" s="12">
        <v>4.5601999999999997E-2</v>
      </c>
      <c r="J47" s="10">
        <v>26617</v>
      </c>
      <c r="K47" s="12">
        <v>0.472555</v>
      </c>
      <c r="L47" s="12">
        <v>0.88334900000000005</v>
      </c>
      <c r="M47">
        <v>0.72</v>
      </c>
    </row>
    <row r="48" spans="1:13" x14ac:dyDescent="0.35">
      <c r="A48" t="s">
        <v>20</v>
      </c>
      <c r="B48">
        <v>5</v>
      </c>
      <c r="C48" t="s">
        <v>14</v>
      </c>
      <c r="D48">
        <v>16</v>
      </c>
      <c r="E48">
        <v>4</v>
      </c>
      <c r="F48">
        <v>31077</v>
      </c>
      <c r="G48">
        <v>72920</v>
      </c>
      <c r="H48" s="8">
        <v>0.42617937465715849</v>
      </c>
      <c r="I48" s="12">
        <v>6.2500000000000001E-4</v>
      </c>
      <c r="J48" s="10">
        <v>55</v>
      </c>
      <c r="K48" s="12">
        <v>0.163636</v>
      </c>
      <c r="L48" s="12">
        <v>0.39130399999999999</v>
      </c>
      <c r="M48">
        <v>0.56999999999999995</v>
      </c>
    </row>
    <row r="49" spans="1:13" x14ac:dyDescent="0.35">
      <c r="A49" t="s">
        <v>21</v>
      </c>
      <c r="B49">
        <v>5</v>
      </c>
      <c r="C49" t="s">
        <v>14</v>
      </c>
      <c r="D49">
        <v>16</v>
      </c>
      <c r="E49">
        <v>4</v>
      </c>
      <c r="F49">
        <v>26630</v>
      </c>
      <c r="G49">
        <v>84440</v>
      </c>
      <c r="H49" s="8">
        <v>0.31537186167693038</v>
      </c>
      <c r="I49" s="12">
        <v>2.5406000000000001E-2</v>
      </c>
      <c r="J49" s="10">
        <v>19060</v>
      </c>
      <c r="K49" s="12">
        <v>0.80078700000000003</v>
      </c>
      <c r="L49" s="12">
        <v>0.91280399999999995</v>
      </c>
      <c r="M49">
        <v>0.8</v>
      </c>
    </row>
    <row r="50" spans="1:13" x14ac:dyDescent="0.35">
      <c r="A50" t="s">
        <v>13</v>
      </c>
      <c r="B50">
        <v>5</v>
      </c>
      <c r="C50" t="s">
        <v>14</v>
      </c>
      <c r="D50">
        <v>32</v>
      </c>
      <c r="E50">
        <v>4</v>
      </c>
      <c r="F50">
        <v>24798</v>
      </c>
      <c r="G50">
        <v>97534</v>
      </c>
      <c r="H50" s="8">
        <v>0.25424980006971931</v>
      </c>
      <c r="I50" s="12">
        <v>0.15229000000000001</v>
      </c>
      <c r="J50" s="10">
        <v>22354</v>
      </c>
      <c r="K50" s="12">
        <v>0.37532399999999999</v>
      </c>
      <c r="L50" s="12">
        <v>0.63758599999999999</v>
      </c>
      <c r="M50">
        <v>0.75</v>
      </c>
    </row>
    <row r="51" spans="1:13" x14ac:dyDescent="0.35">
      <c r="A51" t="s">
        <v>15</v>
      </c>
      <c r="B51">
        <v>5</v>
      </c>
      <c r="C51" t="s">
        <v>14</v>
      </c>
      <c r="D51">
        <v>32</v>
      </c>
      <c r="E51">
        <v>4</v>
      </c>
      <c r="F51">
        <v>21825</v>
      </c>
      <c r="G51">
        <v>91345</v>
      </c>
      <c r="H51" s="8">
        <v>0.238929333844217</v>
      </c>
      <c r="I51" s="12">
        <v>0.236979</v>
      </c>
      <c r="J51" s="10">
        <v>29795</v>
      </c>
      <c r="K51" s="12">
        <v>0.60641</v>
      </c>
      <c r="L51" s="12">
        <v>0.89472099999999999</v>
      </c>
      <c r="M51">
        <v>0.87</v>
      </c>
    </row>
    <row r="52" spans="1:13" x14ac:dyDescent="0.35">
      <c r="A52" t="s">
        <v>16</v>
      </c>
      <c r="B52">
        <v>5</v>
      </c>
      <c r="C52" t="s">
        <v>14</v>
      </c>
      <c r="D52">
        <v>32</v>
      </c>
      <c r="E52">
        <v>4</v>
      </c>
      <c r="F52">
        <v>18222</v>
      </c>
      <c r="G52">
        <v>95390</v>
      </c>
      <c r="H52" s="8">
        <v>0.19102631303071599</v>
      </c>
      <c r="I52" s="12">
        <v>4.2202999999999997E-2</v>
      </c>
      <c r="J52" s="10">
        <v>26733</v>
      </c>
      <c r="K52" s="12">
        <v>0.47428300000000001</v>
      </c>
      <c r="L52" s="12">
        <v>0.88757399999999997</v>
      </c>
      <c r="M52">
        <v>0.74</v>
      </c>
    </row>
    <row r="53" spans="1:13" x14ac:dyDescent="0.35">
      <c r="A53" t="s">
        <v>17</v>
      </c>
      <c r="B53">
        <v>5</v>
      </c>
      <c r="C53" t="s">
        <v>14</v>
      </c>
      <c r="D53">
        <v>32</v>
      </c>
      <c r="E53">
        <v>4</v>
      </c>
      <c r="F53">
        <v>17007</v>
      </c>
      <c r="G53">
        <v>148746</v>
      </c>
      <c r="H53" s="8">
        <v>0.1143358476866605</v>
      </c>
      <c r="I53" s="12">
        <v>3.3640000000000003E-2</v>
      </c>
      <c r="J53" s="10">
        <v>44385</v>
      </c>
      <c r="K53" s="12">
        <v>0.40288400000000002</v>
      </c>
      <c r="L53" s="12">
        <v>0.94548699999999997</v>
      </c>
      <c r="M53">
        <v>1.23</v>
      </c>
    </row>
    <row r="54" spans="1:13" x14ac:dyDescent="0.35">
      <c r="A54" t="s">
        <v>18</v>
      </c>
      <c r="B54">
        <v>5</v>
      </c>
      <c r="C54" t="s">
        <v>14</v>
      </c>
      <c r="D54">
        <v>32</v>
      </c>
      <c r="E54">
        <v>4</v>
      </c>
      <c r="F54">
        <v>23056</v>
      </c>
      <c r="G54">
        <v>94562</v>
      </c>
      <c r="H54" s="8">
        <v>0.2438188701592606</v>
      </c>
      <c r="I54" s="12">
        <v>8.5625000000000007E-2</v>
      </c>
      <c r="J54" s="10">
        <v>30757</v>
      </c>
      <c r="K54" s="12">
        <v>0.668076</v>
      </c>
      <c r="L54" s="12">
        <v>0.89122100000000004</v>
      </c>
      <c r="M54">
        <v>0.83</v>
      </c>
    </row>
    <row r="55" spans="1:13" x14ac:dyDescent="0.35">
      <c r="A55" t="s">
        <v>19</v>
      </c>
      <c r="B55">
        <v>5</v>
      </c>
      <c r="C55" t="s">
        <v>14</v>
      </c>
      <c r="D55">
        <v>32</v>
      </c>
      <c r="E55">
        <v>4</v>
      </c>
      <c r="F55">
        <v>21810</v>
      </c>
      <c r="G55">
        <v>84821</v>
      </c>
      <c r="H55" s="8">
        <v>0.25712972023437591</v>
      </c>
      <c r="I55" s="12">
        <v>4.5601999999999997E-2</v>
      </c>
      <c r="J55" s="10">
        <v>26617</v>
      </c>
      <c r="K55" s="12">
        <v>0.472555</v>
      </c>
      <c r="L55" s="12">
        <v>0.88334900000000005</v>
      </c>
      <c r="M55">
        <v>0.72</v>
      </c>
    </row>
    <row r="56" spans="1:13" x14ac:dyDescent="0.35">
      <c r="A56" t="s">
        <v>20</v>
      </c>
      <c r="B56">
        <v>5</v>
      </c>
      <c r="C56" t="s">
        <v>14</v>
      </c>
      <c r="D56">
        <v>32</v>
      </c>
      <c r="E56">
        <v>4</v>
      </c>
      <c r="F56">
        <v>31077</v>
      </c>
      <c r="G56">
        <v>72920</v>
      </c>
      <c r="H56" s="8">
        <v>0.42617937465715849</v>
      </c>
      <c r="I56" s="12">
        <v>6.2500000000000001E-4</v>
      </c>
      <c r="J56" s="10">
        <v>55</v>
      </c>
      <c r="K56" s="12">
        <v>0.163636</v>
      </c>
      <c r="L56" s="12">
        <v>0.39130399999999999</v>
      </c>
      <c r="M56">
        <v>0.55000000000000004</v>
      </c>
    </row>
    <row r="57" spans="1:13" x14ac:dyDescent="0.35">
      <c r="A57" t="s">
        <v>21</v>
      </c>
      <c r="B57">
        <v>5</v>
      </c>
      <c r="C57" t="s">
        <v>14</v>
      </c>
      <c r="D57">
        <v>32</v>
      </c>
      <c r="E57">
        <v>4</v>
      </c>
      <c r="F57">
        <v>26630</v>
      </c>
      <c r="G57">
        <v>84440</v>
      </c>
      <c r="H57" s="8">
        <v>0.31537186167693038</v>
      </c>
      <c r="I57" s="12">
        <v>2.5406000000000001E-2</v>
      </c>
      <c r="J57" s="10">
        <v>19060</v>
      </c>
      <c r="K57" s="12">
        <v>0.80078700000000003</v>
      </c>
      <c r="L57" s="12">
        <v>0.91280399999999995</v>
      </c>
      <c r="M57">
        <v>0.89</v>
      </c>
    </row>
    <row r="58" spans="1:13" x14ac:dyDescent="0.35">
      <c r="A58" t="s">
        <v>13</v>
      </c>
      <c r="B58">
        <v>5</v>
      </c>
      <c r="C58" t="s">
        <v>14</v>
      </c>
      <c r="D58">
        <v>64</v>
      </c>
      <c r="E58">
        <v>4</v>
      </c>
      <c r="F58">
        <v>24798</v>
      </c>
      <c r="G58">
        <v>97534</v>
      </c>
      <c r="H58" s="8">
        <v>0.25424980006971931</v>
      </c>
      <c r="I58" s="12">
        <v>0.15229000000000001</v>
      </c>
      <c r="J58" s="10">
        <v>22354</v>
      </c>
      <c r="K58" s="12">
        <v>0.37532399999999999</v>
      </c>
      <c r="L58" s="12">
        <v>0.63758599999999999</v>
      </c>
      <c r="M58">
        <v>-1.17</v>
      </c>
    </row>
    <row r="59" spans="1:13" x14ac:dyDescent="0.35">
      <c r="A59" t="s">
        <v>15</v>
      </c>
      <c r="B59">
        <v>5</v>
      </c>
      <c r="C59" t="s">
        <v>14</v>
      </c>
      <c r="D59">
        <v>64</v>
      </c>
      <c r="E59">
        <v>4</v>
      </c>
      <c r="F59">
        <v>21825</v>
      </c>
      <c r="G59">
        <v>91345</v>
      </c>
      <c r="H59" s="8">
        <v>0.238929333844217</v>
      </c>
      <c r="I59" s="12">
        <v>0.236979</v>
      </c>
      <c r="J59" s="10">
        <v>29795</v>
      </c>
      <c r="K59" s="12">
        <v>0.60641</v>
      </c>
      <c r="L59" s="12">
        <v>0.89472099999999999</v>
      </c>
      <c r="M59">
        <v>0.8</v>
      </c>
    </row>
    <row r="60" spans="1:13" x14ac:dyDescent="0.35">
      <c r="A60" t="s">
        <v>16</v>
      </c>
      <c r="B60">
        <v>5</v>
      </c>
      <c r="C60" t="s">
        <v>14</v>
      </c>
      <c r="D60">
        <v>64</v>
      </c>
      <c r="E60">
        <v>4</v>
      </c>
      <c r="F60">
        <v>18222</v>
      </c>
      <c r="G60">
        <v>95390</v>
      </c>
      <c r="H60" s="8">
        <v>0.19102631303071599</v>
      </c>
      <c r="I60" s="12">
        <v>4.2202999999999997E-2</v>
      </c>
      <c r="J60" s="10">
        <v>26733</v>
      </c>
      <c r="K60" s="12">
        <v>0.47428300000000001</v>
      </c>
      <c r="L60" s="12">
        <v>0.88757399999999997</v>
      </c>
      <c r="M60">
        <v>0.73</v>
      </c>
    </row>
    <row r="61" spans="1:13" x14ac:dyDescent="0.35">
      <c r="A61" t="s">
        <v>17</v>
      </c>
      <c r="B61">
        <v>5</v>
      </c>
      <c r="C61" t="s">
        <v>14</v>
      </c>
      <c r="D61">
        <v>64</v>
      </c>
      <c r="E61">
        <v>4</v>
      </c>
      <c r="F61">
        <v>17007</v>
      </c>
      <c r="G61">
        <v>148746</v>
      </c>
      <c r="H61" s="8">
        <v>0.1143358476866605</v>
      </c>
      <c r="I61" s="12">
        <v>3.3640000000000003E-2</v>
      </c>
      <c r="J61" s="10">
        <v>44385</v>
      </c>
      <c r="K61" s="12">
        <v>0.40288400000000002</v>
      </c>
      <c r="L61" s="12">
        <v>0.94548699999999997</v>
      </c>
      <c r="M61">
        <v>1.1299999999999999</v>
      </c>
    </row>
    <row r="62" spans="1:13" x14ac:dyDescent="0.35">
      <c r="A62" t="s">
        <v>18</v>
      </c>
      <c r="B62">
        <v>5</v>
      </c>
      <c r="C62" t="s">
        <v>14</v>
      </c>
      <c r="D62">
        <v>64</v>
      </c>
      <c r="E62">
        <v>4</v>
      </c>
      <c r="F62">
        <v>23056</v>
      </c>
      <c r="G62">
        <v>94562</v>
      </c>
      <c r="H62" s="8">
        <v>0.2438188701592606</v>
      </c>
      <c r="I62" s="12">
        <v>8.5625000000000007E-2</v>
      </c>
      <c r="J62" s="10">
        <v>30757</v>
      </c>
      <c r="K62" s="12">
        <v>0.668076</v>
      </c>
      <c r="L62" s="12">
        <v>0.89122100000000004</v>
      </c>
      <c r="M62">
        <v>0.79</v>
      </c>
    </row>
    <row r="63" spans="1:13" x14ac:dyDescent="0.35">
      <c r="A63" t="s">
        <v>19</v>
      </c>
      <c r="B63">
        <v>5</v>
      </c>
      <c r="C63" t="s">
        <v>14</v>
      </c>
      <c r="D63">
        <v>64</v>
      </c>
      <c r="E63">
        <v>4</v>
      </c>
      <c r="F63">
        <v>21810</v>
      </c>
      <c r="G63">
        <v>84821</v>
      </c>
      <c r="H63" s="8">
        <v>0.25712972023437591</v>
      </c>
      <c r="I63" s="12">
        <v>4.5601999999999997E-2</v>
      </c>
      <c r="J63" s="10">
        <v>26617</v>
      </c>
      <c r="K63" s="12">
        <v>0.472555</v>
      </c>
      <c r="L63" s="12">
        <v>0.88334900000000005</v>
      </c>
      <c r="M63">
        <v>0.69</v>
      </c>
    </row>
    <row r="64" spans="1:13" x14ac:dyDescent="0.35">
      <c r="A64" t="s">
        <v>20</v>
      </c>
      <c r="B64">
        <v>5</v>
      </c>
      <c r="C64" t="s">
        <v>14</v>
      </c>
      <c r="D64">
        <v>64</v>
      </c>
      <c r="E64">
        <v>4</v>
      </c>
      <c r="F64">
        <v>31077</v>
      </c>
      <c r="G64">
        <v>72920</v>
      </c>
      <c r="H64" s="8">
        <v>0.42617937465715849</v>
      </c>
      <c r="I64" s="12">
        <v>6.2500000000000001E-4</v>
      </c>
      <c r="J64" s="10">
        <v>55</v>
      </c>
      <c r="K64" s="12">
        <v>0.163636</v>
      </c>
      <c r="L64" s="12">
        <v>0.39130399999999999</v>
      </c>
      <c r="M64">
        <v>0.53</v>
      </c>
    </row>
    <row r="65" spans="1:13" x14ac:dyDescent="0.35">
      <c r="A65" t="s">
        <v>21</v>
      </c>
      <c r="B65">
        <v>5</v>
      </c>
      <c r="C65" t="s">
        <v>14</v>
      </c>
      <c r="D65">
        <v>64</v>
      </c>
      <c r="E65">
        <v>4</v>
      </c>
      <c r="F65">
        <v>26630</v>
      </c>
      <c r="G65">
        <v>84440</v>
      </c>
      <c r="H65" s="8">
        <v>0.31537186167693038</v>
      </c>
      <c r="I65" s="12">
        <v>2.5406000000000001E-2</v>
      </c>
      <c r="J65" s="10">
        <v>19060</v>
      </c>
      <c r="K65" s="12">
        <v>0.80078700000000003</v>
      </c>
      <c r="L65" s="12">
        <v>0.91280399999999995</v>
      </c>
      <c r="M65">
        <v>0.79</v>
      </c>
    </row>
    <row r="66" spans="1:13" x14ac:dyDescent="0.35">
      <c r="A66" t="s">
        <v>13</v>
      </c>
      <c r="B66">
        <v>5</v>
      </c>
      <c r="C66" t="s">
        <v>14</v>
      </c>
      <c r="D66">
        <v>16</v>
      </c>
      <c r="E66">
        <v>16</v>
      </c>
      <c r="F66">
        <v>24798</v>
      </c>
      <c r="G66">
        <v>87643</v>
      </c>
      <c r="H66" s="8">
        <v>0.28294330408589391</v>
      </c>
      <c r="I66" s="12">
        <v>6.6261E-2</v>
      </c>
      <c r="J66" s="10">
        <v>59964</v>
      </c>
      <c r="K66" s="12">
        <v>0.19378300000000001</v>
      </c>
      <c r="L66" s="12">
        <v>0.83219900000000002</v>
      </c>
      <c r="M66">
        <v>0.81</v>
      </c>
    </row>
    <row r="67" spans="1:13" x14ac:dyDescent="0.35">
      <c r="A67" t="s">
        <v>15</v>
      </c>
      <c r="B67">
        <v>5</v>
      </c>
      <c r="C67" t="s">
        <v>14</v>
      </c>
      <c r="D67">
        <v>16</v>
      </c>
      <c r="E67">
        <v>16</v>
      </c>
      <c r="F67">
        <v>21825</v>
      </c>
      <c r="G67">
        <v>100336</v>
      </c>
      <c r="H67" s="8">
        <v>0.21751913570403439</v>
      </c>
      <c r="I67" s="12">
        <v>9.9375000000000005E-2</v>
      </c>
      <c r="J67" s="10">
        <v>66402</v>
      </c>
      <c r="K67" s="12">
        <v>0.273727</v>
      </c>
      <c r="L67" s="12">
        <v>0.76184099999999999</v>
      </c>
      <c r="M67">
        <v>0.83</v>
      </c>
    </row>
    <row r="68" spans="1:13" x14ac:dyDescent="0.35">
      <c r="A68" t="s">
        <v>16</v>
      </c>
      <c r="B68">
        <v>5</v>
      </c>
      <c r="C68" t="s">
        <v>14</v>
      </c>
      <c r="D68">
        <v>16</v>
      </c>
      <c r="E68">
        <v>16</v>
      </c>
      <c r="F68">
        <v>18222</v>
      </c>
      <c r="G68">
        <v>95496</v>
      </c>
      <c r="H68" s="8">
        <v>0.1908142749434531</v>
      </c>
      <c r="I68" s="12">
        <v>4.2465999999999997E-2</v>
      </c>
      <c r="J68" s="10">
        <v>87802</v>
      </c>
      <c r="K68" s="12">
        <v>0.14820800000000001</v>
      </c>
      <c r="L68" s="12">
        <v>0.90898299999999999</v>
      </c>
      <c r="M68">
        <v>0.96</v>
      </c>
    </row>
    <row r="69" spans="1:13" x14ac:dyDescent="0.35">
      <c r="A69" t="s">
        <v>17</v>
      </c>
      <c r="B69">
        <v>5</v>
      </c>
      <c r="C69" t="s">
        <v>14</v>
      </c>
      <c r="D69">
        <v>16</v>
      </c>
      <c r="E69">
        <v>16</v>
      </c>
      <c r="F69">
        <v>17007</v>
      </c>
      <c r="G69">
        <v>150790</v>
      </c>
      <c r="H69" s="8">
        <v>0.1127859937661649</v>
      </c>
      <c r="I69" s="12">
        <v>3.6298999999999998E-2</v>
      </c>
      <c r="J69" s="10">
        <v>150038</v>
      </c>
      <c r="K69" s="12">
        <v>0.11883000000000001</v>
      </c>
      <c r="L69" s="12">
        <v>0.93871400000000005</v>
      </c>
      <c r="M69">
        <v>1.19</v>
      </c>
    </row>
    <row r="70" spans="1:13" x14ac:dyDescent="0.35">
      <c r="A70" t="s">
        <v>18</v>
      </c>
      <c r="B70">
        <v>5</v>
      </c>
      <c r="C70" t="s">
        <v>14</v>
      </c>
      <c r="D70">
        <v>16</v>
      </c>
      <c r="E70">
        <v>16</v>
      </c>
      <c r="F70">
        <v>23056</v>
      </c>
      <c r="G70">
        <v>101653</v>
      </c>
      <c r="H70" s="8">
        <v>0.2268108171918192</v>
      </c>
      <c r="I70" s="12">
        <v>0.10129199999999999</v>
      </c>
      <c r="J70" s="10">
        <v>81000</v>
      </c>
      <c r="K70" s="12">
        <v>0.236704</v>
      </c>
      <c r="L70" s="12">
        <v>0.803226</v>
      </c>
      <c r="M70">
        <v>0.89</v>
      </c>
    </row>
    <row r="71" spans="1:13" x14ac:dyDescent="0.35">
      <c r="A71" t="s">
        <v>19</v>
      </c>
      <c r="B71">
        <v>5</v>
      </c>
      <c r="C71" t="s">
        <v>14</v>
      </c>
      <c r="D71">
        <v>16</v>
      </c>
      <c r="E71">
        <v>16</v>
      </c>
      <c r="F71">
        <v>21810</v>
      </c>
      <c r="G71">
        <v>86481</v>
      </c>
      <c r="H71" s="8">
        <v>0.25219412356471371</v>
      </c>
      <c r="I71" s="12">
        <v>4.8252000000000003E-2</v>
      </c>
      <c r="J71" s="10">
        <v>87076</v>
      </c>
      <c r="K71" s="12">
        <v>0.14738799999999999</v>
      </c>
      <c r="L71" s="12">
        <v>0.89861400000000002</v>
      </c>
      <c r="M71">
        <v>0.75</v>
      </c>
    </row>
    <row r="72" spans="1:13" x14ac:dyDescent="0.35">
      <c r="A72" t="s">
        <v>20</v>
      </c>
      <c r="B72">
        <v>5</v>
      </c>
      <c r="C72" t="s">
        <v>14</v>
      </c>
      <c r="D72">
        <v>16</v>
      </c>
      <c r="E72">
        <v>16</v>
      </c>
      <c r="F72">
        <v>31077</v>
      </c>
      <c r="G72">
        <v>72874</v>
      </c>
      <c r="H72" s="8">
        <v>0.42644839037242371</v>
      </c>
      <c r="I72" s="12">
        <v>8.0599999999999997E-4</v>
      </c>
      <c r="J72" s="10">
        <v>113</v>
      </c>
      <c r="K72" s="12">
        <v>7.0795999999999998E-2</v>
      </c>
      <c r="L72" s="12">
        <v>0.34782600000000002</v>
      </c>
      <c r="M72">
        <v>0.54</v>
      </c>
    </row>
    <row r="73" spans="1:13" x14ac:dyDescent="0.35">
      <c r="A73" t="s">
        <v>21</v>
      </c>
      <c r="B73">
        <v>5</v>
      </c>
      <c r="C73" t="s">
        <v>14</v>
      </c>
      <c r="D73">
        <v>16</v>
      </c>
      <c r="E73">
        <v>16</v>
      </c>
      <c r="F73">
        <v>26630</v>
      </c>
      <c r="G73">
        <v>89731</v>
      </c>
      <c r="H73" s="8">
        <v>0.29677591913608448</v>
      </c>
      <c r="I73" s="12">
        <v>6.1304999999999998E-2</v>
      </c>
      <c r="J73" s="10">
        <v>51830</v>
      </c>
      <c r="K73" s="12">
        <v>0.23086999999999999</v>
      </c>
      <c r="L73" s="12">
        <v>0.71430300000000002</v>
      </c>
      <c r="M73">
        <v>0.8</v>
      </c>
    </row>
    <row r="74" spans="1:13" x14ac:dyDescent="0.35">
      <c r="A74" t="s">
        <v>13</v>
      </c>
      <c r="B74">
        <v>5</v>
      </c>
      <c r="C74" t="s">
        <v>14</v>
      </c>
      <c r="D74">
        <v>16</v>
      </c>
      <c r="E74">
        <v>32</v>
      </c>
      <c r="F74">
        <v>24798</v>
      </c>
      <c r="G74">
        <v>88772</v>
      </c>
      <c r="H74" s="8">
        <v>0.27934483846257829</v>
      </c>
      <c r="I74" s="12">
        <v>8.2017999999999994E-2</v>
      </c>
      <c r="J74" s="10">
        <v>84272</v>
      </c>
      <c r="K74" s="12">
        <v>0.129272</v>
      </c>
      <c r="L74" s="12">
        <v>0.77158400000000005</v>
      </c>
      <c r="M74">
        <v>0.84</v>
      </c>
    </row>
    <row r="75" spans="1:13" x14ac:dyDescent="0.35">
      <c r="A75" t="s">
        <v>15</v>
      </c>
      <c r="B75">
        <v>5</v>
      </c>
      <c r="C75" t="s">
        <v>14</v>
      </c>
      <c r="D75">
        <v>16</v>
      </c>
      <c r="E75">
        <v>32</v>
      </c>
      <c r="F75">
        <v>21825</v>
      </c>
      <c r="G75">
        <v>108339</v>
      </c>
      <c r="H75" s="8">
        <v>0.20145100102456179</v>
      </c>
      <c r="I75" s="12">
        <v>0.131385</v>
      </c>
      <c r="J75" s="10">
        <v>80225</v>
      </c>
      <c r="K75" s="12">
        <v>0.182175</v>
      </c>
      <c r="L75" s="12">
        <v>0.61201799999999995</v>
      </c>
      <c r="M75">
        <v>0.88</v>
      </c>
    </row>
    <row r="76" spans="1:13" x14ac:dyDescent="0.35">
      <c r="A76" t="s">
        <v>16</v>
      </c>
      <c r="B76">
        <v>5</v>
      </c>
      <c r="C76" t="s">
        <v>14</v>
      </c>
      <c r="D76">
        <v>16</v>
      </c>
      <c r="E76">
        <v>32</v>
      </c>
      <c r="F76">
        <v>18222</v>
      </c>
      <c r="G76">
        <v>97676</v>
      </c>
      <c r="H76" s="8">
        <v>0.18655555100536469</v>
      </c>
      <c r="I76" s="12">
        <v>6.3506999999999994E-2</v>
      </c>
      <c r="J76" s="10">
        <v>117237</v>
      </c>
      <c r="K76" s="12">
        <v>0.101299</v>
      </c>
      <c r="L76" s="12">
        <v>0.82846200000000003</v>
      </c>
      <c r="M76">
        <v>0.79</v>
      </c>
    </row>
    <row r="77" spans="1:13" x14ac:dyDescent="0.35">
      <c r="A77" t="s">
        <v>17</v>
      </c>
      <c r="B77">
        <v>5</v>
      </c>
      <c r="C77" t="s">
        <v>14</v>
      </c>
      <c r="D77">
        <v>16</v>
      </c>
      <c r="E77">
        <v>32</v>
      </c>
      <c r="F77">
        <v>17007</v>
      </c>
      <c r="G77">
        <v>158694</v>
      </c>
      <c r="H77" s="8">
        <v>0.1071685129872585</v>
      </c>
      <c r="I77" s="12">
        <v>5.9877E-2</v>
      </c>
      <c r="J77" s="10">
        <v>204505</v>
      </c>
      <c r="K77" s="12">
        <v>7.4463000000000001E-2</v>
      </c>
      <c r="L77" s="12">
        <v>0.80117899999999997</v>
      </c>
      <c r="M77">
        <v>1.24</v>
      </c>
    </row>
    <row r="78" spans="1:13" x14ac:dyDescent="0.35">
      <c r="A78" t="s">
        <v>18</v>
      </c>
      <c r="B78">
        <v>5</v>
      </c>
      <c r="C78" t="s">
        <v>14</v>
      </c>
      <c r="D78">
        <v>16</v>
      </c>
      <c r="E78">
        <v>32</v>
      </c>
      <c r="F78">
        <v>23056</v>
      </c>
      <c r="G78">
        <v>113203</v>
      </c>
      <c r="H78" s="8">
        <v>0.2036695140588147</v>
      </c>
      <c r="I78" s="12">
        <v>0.121198</v>
      </c>
      <c r="J78" s="10">
        <v>118743</v>
      </c>
      <c r="K78" s="12">
        <v>0.133077</v>
      </c>
      <c r="L78" s="12">
        <v>0.66225199999999995</v>
      </c>
      <c r="M78">
        <v>0.93</v>
      </c>
    </row>
    <row r="79" spans="1:13" x14ac:dyDescent="0.35">
      <c r="A79" t="s">
        <v>19</v>
      </c>
      <c r="B79">
        <v>5</v>
      </c>
      <c r="C79" t="s">
        <v>14</v>
      </c>
      <c r="D79">
        <v>16</v>
      </c>
      <c r="E79">
        <v>32</v>
      </c>
      <c r="F79">
        <v>21810</v>
      </c>
      <c r="G79">
        <v>92694</v>
      </c>
      <c r="H79" s="8">
        <v>0.23529031005243059</v>
      </c>
      <c r="I79" s="12">
        <v>8.6041999999999993E-2</v>
      </c>
      <c r="J79" s="10">
        <v>114857</v>
      </c>
      <c r="K79" s="12">
        <v>9.3908000000000005E-2</v>
      </c>
      <c r="L79" s="12">
        <v>0.756328</v>
      </c>
      <c r="M79">
        <v>0.81</v>
      </c>
    </row>
    <row r="80" spans="1:13" x14ac:dyDescent="0.35">
      <c r="A80" t="s">
        <v>20</v>
      </c>
      <c r="B80">
        <v>5</v>
      </c>
      <c r="C80" t="s">
        <v>14</v>
      </c>
      <c r="D80">
        <v>16</v>
      </c>
      <c r="E80">
        <v>32</v>
      </c>
      <c r="F80">
        <v>31077</v>
      </c>
      <c r="G80">
        <v>72878</v>
      </c>
      <c r="H80" s="8">
        <v>0.42642498422020358</v>
      </c>
      <c r="I80" s="12">
        <v>9.4399999999999996E-4</v>
      </c>
      <c r="J80" s="10">
        <v>98</v>
      </c>
      <c r="K80" s="12">
        <v>8.1632999999999997E-2</v>
      </c>
      <c r="L80" s="12">
        <v>0.32</v>
      </c>
      <c r="M80">
        <v>0.53</v>
      </c>
    </row>
    <row r="81" spans="1:13" x14ac:dyDescent="0.35">
      <c r="A81" t="s">
        <v>21</v>
      </c>
      <c r="B81">
        <v>5</v>
      </c>
      <c r="C81" t="s">
        <v>14</v>
      </c>
      <c r="D81">
        <v>16</v>
      </c>
      <c r="E81">
        <v>32</v>
      </c>
      <c r="F81">
        <v>26630</v>
      </c>
      <c r="G81">
        <v>92066</v>
      </c>
      <c r="H81" s="8">
        <v>0.28924901700953659</v>
      </c>
      <c r="I81" s="12">
        <v>0.101129</v>
      </c>
      <c r="J81" s="10">
        <v>63410</v>
      </c>
      <c r="K81" s="12">
        <v>0.15481800000000001</v>
      </c>
      <c r="L81" s="12">
        <v>0.58574000000000004</v>
      </c>
      <c r="M81">
        <v>0.79</v>
      </c>
    </row>
    <row r="82" spans="1:13" x14ac:dyDescent="0.35">
      <c r="A82" t="s">
        <v>13</v>
      </c>
      <c r="B82">
        <v>10</v>
      </c>
      <c r="C82" t="s">
        <v>14</v>
      </c>
      <c r="D82">
        <v>16</v>
      </c>
      <c r="E82">
        <v>4</v>
      </c>
      <c r="F82">
        <v>49513</v>
      </c>
      <c r="G82">
        <v>182694</v>
      </c>
      <c r="H82" s="8">
        <v>0.27101601585164259</v>
      </c>
      <c r="I82" s="12">
        <v>0.15201999999999999</v>
      </c>
      <c r="J82" s="10">
        <v>43372</v>
      </c>
      <c r="K82" s="12">
        <v>0.38296599999999997</v>
      </c>
      <c r="L82" s="12">
        <v>0.63131899999999996</v>
      </c>
      <c r="M82">
        <v>1.45</v>
      </c>
    </row>
    <row r="83" spans="1:13" x14ac:dyDescent="0.35">
      <c r="A83" t="s">
        <v>15</v>
      </c>
      <c r="B83">
        <v>10</v>
      </c>
      <c r="C83" t="s">
        <v>14</v>
      </c>
      <c r="D83">
        <v>16</v>
      </c>
      <c r="E83">
        <v>4</v>
      </c>
      <c r="F83">
        <v>43580</v>
      </c>
      <c r="G83">
        <v>182364</v>
      </c>
      <c r="H83" s="8">
        <v>0.23897260424206529</v>
      </c>
      <c r="I83" s="12">
        <v>0.236375</v>
      </c>
      <c r="J83" s="10">
        <v>59613</v>
      </c>
      <c r="K83" s="12">
        <v>0.60664600000000002</v>
      </c>
      <c r="L83" s="12">
        <v>0.89543700000000004</v>
      </c>
      <c r="M83">
        <v>1.56</v>
      </c>
    </row>
    <row r="84" spans="1:13" x14ac:dyDescent="0.35">
      <c r="A84" t="s">
        <v>16</v>
      </c>
      <c r="B84">
        <v>10</v>
      </c>
      <c r="C84" t="s">
        <v>14</v>
      </c>
      <c r="D84">
        <v>16</v>
      </c>
      <c r="E84">
        <v>4</v>
      </c>
      <c r="F84">
        <v>36372</v>
      </c>
      <c r="G84">
        <v>189807</v>
      </c>
      <c r="H84" s="8">
        <v>0.1916262308555533</v>
      </c>
      <c r="I84" s="12">
        <v>4.1116E-2</v>
      </c>
      <c r="J84" s="10">
        <v>53622</v>
      </c>
      <c r="K84" s="12">
        <v>0.47488000000000002</v>
      </c>
      <c r="L84" s="12">
        <v>0.89125299999999996</v>
      </c>
      <c r="M84">
        <v>1.45</v>
      </c>
    </row>
    <row r="85" spans="1:13" x14ac:dyDescent="0.35">
      <c r="A85" t="s">
        <v>17</v>
      </c>
      <c r="B85">
        <v>10</v>
      </c>
      <c r="C85" t="s">
        <v>14</v>
      </c>
      <c r="D85">
        <v>16</v>
      </c>
      <c r="E85">
        <v>4</v>
      </c>
      <c r="F85">
        <v>33942</v>
      </c>
      <c r="G85">
        <v>297045</v>
      </c>
      <c r="H85" s="8">
        <v>0.1142655153259607</v>
      </c>
      <c r="I85" s="12">
        <v>3.3669999999999999E-2</v>
      </c>
      <c r="J85" s="10">
        <v>88915</v>
      </c>
      <c r="K85" s="12">
        <v>0.40276699999999999</v>
      </c>
      <c r="L85" s="12">
        <v>0.94670600000000005</v>
      </c>
      <c r="M85">
        <v>0</v>
      </c>
    </row>
    <row r="86" spans="1:13" x14ac:dyDescent="0.35">
      <c r="A86" t="s">
        <v>18</v>
      </c>
      <c r="B86">
        <v>10</v>
      </c>
      <c r="C86" t="s">
        <v>14</v>
      </c>
      <c r="D86">
        <v>16</v>
      </c>
      <c r="E86">
        <v>4</v>
      </c>
      <c r="F86">
        <v>46021</v>
      </c>
      <c r="G86">
        <v>188692</v>
      </c>
      <c r="H86" s="8">
        <v>0.2438948127106608</v>
      </c>
      <c r="I86" s="12">
        <v>8.5443000000000005E-2</v>
      </c>
      <c r="J86" s="10">
        <v>61666</v>
      </c>
      <c r="K86" s="12">
        <v>0.66822899999999996</v>
      </c>
      <c r="L86" s="12">
        <v>0.89235100000000001</v>
      </c>
      <c r="M86">
        <v>1.63</v>
      </c>
    </row>
    <row r="87" spans="1:13" x14ac:dyDescent="0.35">
      <c r="A87" t="s">
        <v>19</v>
      </c>
      <c r="B87">
        <v>10</v>
      </c>
      <c r="C87" t="s">
        <v>14</v>
      </c>
      <c r="D87">
        <v>16</v>
      </c>
      <c r="E87">
        <v>4</v>
      </c>
      <c r="F87">
        <v>43550</v>
      </c>
      <c r="G87">
        <v>170325</v>
      </c>
      <c r="H87" s="8">
        <v>0.25568765595185672</v>
      </c>
      <c r="I87" s="12">
        <v>4.3547000000000002E-2</v>
      </c>
      <c r="J87" s="10">
        <v>54576</v>
      </c>
      <c r="K87" s="12">
        <v>0.46756799999999998</v>
      </c>
      <c r="L87" s="12">
        <v>0.89602899999999996</v>
      </c>
      <c r="M87">
        <v>1.44</v>
      </c>
    </row>
    <row r="88" spans="1:13" x14ac:dyDescent="0.35">
      <c r="A88" t="s">
        <v>20</v>
      </c>
      <c r="B88">
        <v>10</v>
      </c>
      <c r="C88" t="s">
        <v>14</v>
      </c>
      <c r="D88">
        <v>16</v>
      </c>
      <c r="E88">
        <v>4</v>
      </c>
      <c r="F88">
        <v>62077</v>
      </c>
      <c r="G88">
        <v>145334</v>
      </c>
      <c r="H88" s="8">
        <v>0.42713336177356992</v>
      </c>
      <c r="I88" s="12">
        <v>3.1300000000000002E-4</v>
      </c>
      <c r="J88" s="10">
        <v>55</v>
      </c>
      <c r="K88" s="12">
        <v>0.163636</v>
      </c>
      <c r="L88" s="12">
        <v>0.39130399999999999</v>
      </c>
      <c r="M88">
        <v>0.93</v>
      </c>
    </row>
    <row r="89" spans="1:13" x14ac:dyDescent="0.35">
      <c r="A89" t="s">
        <v>21</v>
      </c>
      <c r="B89">
        <v>10</v>
      </c>
      <c r="C89" t="s">
        <v>14</v>
      </c>
      <c r="D89">
        <v>16</v>
      </c>
      <c r="E89">
        <v>4</v>
      </c>
      <c r="F89">
        <v>53190</v>
      </c>
      <c r="G89">
        <v>168932</v>
      </c>
      <c r="H89" s="8">
        <v>0.31486041720929131</v>
      </c>
      <c r="I89" s="12">
        <v>2.4830000000000001E-2</v>
      </c>
      <c r="J89" s="10">
        <v>38228</v>
      </c>
      <c r="K89" s="12">
        <v>0.80043399999999998</v>
      </c>
      <c r="L89" s="12">
        <v>0.91416699999999995</v>
      </c>
      <c r="M89">
        <v>1.42</v>
      </c>
    </row>
    <row r="90" spans="1:13" x14ac:dyDescent="0.35">
      <c r="A90" t="s">
        <v>13</v>
      </c>
      <c r="B90">
        <v>10</v>
      </c>
      <c r="C90" t="s">
        <v>14</v>
      </c>
      <c r="D90">
        <v>32</v>
      </c>
      <c r="E90">
        <v>4</v>
      </c>
      <c r="F90">
        <v>49513</v>
      </c>
      <c r="G90">
        <v>182694</v>
      </c>
      <c r="H90" s="8">
        <v>0.27101601585164259</v>
      </c>
      <c r="I90" s="12">
        <v>0.15201999999999999</v>
      </c>
      <c r="J90" s="10">
        <v>43372</v>
      </c>
      <c r="K90" s="12">
        <v>0.38296599999999997</v>
      </c>
      <c r="L90" s="12">
        <v>0.63131899999999996</v>
      </c>
      <c r="M90">
        <v>1.46</v>
      </c>
    </row>
    <row r="91" spans="1:13" x14ac:dyDescent="0.35">
      <c r="A91" t="s">
        <v>15</v>
      </c>
      <c r="B91">
        <v>10</v>
      </c>
      <c r="C91" t="s">
        <v>14</v>
      </c>
      <c r="D91">
        <v>32</v>
      </c>
      <c r="E91">
        <v>4</v>
      </c>
      <c r="F91">
        <v>43580</v>
      </c>
      <c r="G91">
        <v>182364</v>
      </c>
      <c r="H91" s="8">
        <v>0.23897260424206529</v>
      </c>
      <c r="I91" s="12">
        <v>0.236375</v>
      </c>
      <c r="J91" s="10">
        <v>59613</v>
      </c>
      <c r="K91" s="12">
        <v>0.60664600000000002</v>
      </c>
      <c r="L91" s="12">
        <v>0.89543700000000004</v>
      </c>
      <c r="M91">
        <v>1.6</v>
      </c>
    </row>
    <row r="92" spans="1:13" x14ac:dyDescent="0.35">
      <c r="A92" t="s">
        <v>16</v>
      </c>
      <c r="B92">
        <v>10</v>
      </c>
      <c r="C92" t="s">
        <v>14</v>
      </c>
      <c r="D92">
        <v>32</v>
      </c>
      <c r="E92">
        <v>4</v>
      </c>
      <c r="F92">
        <v>36372</v>
      </c>
      <c r="G92">
        <v>189807</v>
      </c>
      <c r="H92" s="8">
        <v>0.1916262308555533</v>
      </c>
      <c r="I92" s="12">
        <v>4.1116E-2</v>
      </c>
      <c r="J92" s="10">
        <v>53622</v>
      </c>
      <c r="K92" s="12">
        <v>0.47488000000000002</v>
      </c>
      <c r="L92" s="12">
        <v>0.89125299999999996</v>
      </c>
      <c r="M92">
        <v>1.4</v>
      </c>
    </row>
    <row r="93" spans="1:13" x14ac:dyDescent="0.35">
      <c r="A93" t="s">
        <v>17</v>
      </c>
      <c r="B93">
        <v>10</v>
      </c>
      <c r="C93" t="s">
        <v>14</v>
      </c>
      <c r="D93">
        <v>32</v>
      </c>
      <c r="E93">
        <v>4</v>
      </c>
      <c r="F93">
        <v>33942</v>
      </c>
      <c r="G93">
        <v>297045</v>
      </c>
      <c r="H93" s="8">
        <v>0.1142655153259607</v>
      </c>
      <c r="I93" s="12">
        <v>3.3669999999999999E-2</v>
      </c>
      <c r="J93" s="10">
        <v>88915</v>
      </c>
      <c r="K93" s="12">
        <v>0.40276699999999999</v>
      </c>
      <c r="L93" s="12">
        <v>0.94670600000000005</v>
      </c>
      <c r="M93">
        <v>2.3199999999999998</v>
      </c>
    </row>
    <row r="94" spans="1:13" x14ac:dyDescent="0.35">
      <c r="A94" t="s">
        <v>18</v>
      </c>
      <c r="B94">
        <v>10</v>
      </c>
      <c r="C94" t="s">
        <v>14</v>
      </c>
      <c r="D94">
        <v>32</v>
      </c>
      <c r="E94">
        <v>4</v>
      </c>
      <c r="F94">
        <v>46021</v>
      </c>
      <c r="G94">
        <v>188692</v>
      </c>
      <c r="H94" s="8">
        <v>0.2438948127106608</v>
      </c>
      <c r="I94" s="12">
        <v>8.5443000000000005E-2</v>
      </c>
      <c r="J94" s="10">
        <v>61666</v>
      </c>
      <c r="K94" s="12">
        <v>0.66822899999999996</v>
      </c>
      <c r="L94" s="12">
        <v>0.89235100000000001</v>
      </c>
      <c r="M94">
        <v>1.55</v>
      </c>
    </row>
    <row r="95" spans="1:13" x14ac:dyDescent="0.35">
      <c r="A95" t="s">
        <v>19</v>
      </c>
      <c r="B95">
        <v>10</v>
      </c>
      <c r="C95" t="s">
        <v>14</v>
      </c>
      <c r="D95">
        <v>32</v>
      </c>
      <c r="E95">
        <v>4</v>
      </c>
      <c r="F95">
        <v>43550</v>
      </c>
      <c r="G95">
        <v>170325</v>
      </c>
      <c r="H95" s="8">
        <v>0.25568765595185672</v>
      </c>
      <c r="I95" s="12">
        <v>4.3547000000000002E-2</v>
      </c>
      <c r="J95" s="10">
        <v>54576</v>
      </c>
      <c r="K95" s="12">
        <v>0.46756799999999998</v>
      </c>
      <c r="L95" s="12">
        <v>0.89602899999999996</v>
      </c>
      <c r="M95">
        <v>1.4</v>
      </c>
    </row>
    <row r="96" spans="1:13" x14ac:dyDescent="0.35">
      <c r="A96" t="s">
        <v>20</v>
      </c>
      <c r="B96">
        <v>10</v>
      </c>
      <c r="C96" t="s">
        <v>14</v>
      </c>
      <c r="D96">
        <v>32</v>
      </c>
      <c r="E96">
        <v>4</v>
      </c>
      <c r="F96">
        <v>62077</v>
      </c>
      <c r="G96">
        <v>145334</v>
      </c>
      <c r="H96" s="8">
        <v>0.42713336177356992</v>
      </c>
      <c r="I96" s="12">
        <v>3.1300000000000002E-4</v>
      </c>
      <c r="J96" s="10">
        <v>55</v>
      </c>
      <c r="K96" s="12">
        <v>0.163636</v>
      </c>
      <c r="L96" s="12">
        <v>0.39130399999999999</v>
      </c>
      <c r="M96">
        <v>-0.85</v>
      </c>
    </row>
    <row r="97" spans="1:13" x14ac:dyDescent="0.35">
      <c r="A97" t="s">
        <v>21</v>
      </c>
      <c r="B97">
        <v>10</v>
      </c>
      <c r="C97" t="s">
        <v>14</v>
      </c>
      <c r="D97">
        <v>32</v>
      </c>
      <c r="E97">
        <v>4</v>
      </c>
      <c r="F97">
        <v>53190</v>
      </c>
      <c r="G97">
        <v>168932</v>
      </c>
      <c r="H97" s="8">
        <v>0.31486041720929131</v>
      </c>
      <c r="I97" s="12">
        <v>2.4830000000000001E-2</v>
      </c>
      <c r="J97" s="10">
        <v>38228</v>
      </c>
      <c r="K97" s="12">
        <v>0.80043399999999998</v>
      </c>
      <c r="L97" s="12">
        <v>0.91416699999999995</v>
      </c>
      <c r="M97">
        <v>1.47</v>
      </c>
    </row>
    <row r="98" spans="1:13" x14ac:dyDescent="0.35">
      <c r="A98" t="s">
        <v>13</v>
      </c>
      <c r="B98">
        <v>10</v>
      </c>
      <c r="C98" t="s">
        <v>14</v>
      </c>
      <c r="D98">
        <v>64</v>
      </c>
      <c r="E98">
        <v>4</v>
      </c>
      <c r="F98">
        <v>49513</v>
      </c>
      <c r="G98">
        <v>182694</v>
      </c>
      <c r="H98" s="8">
        <v>0.27101601585164259</v>
      </c>
      <c r="I98" s="12">
        <v>0.15201999999999999</v>
      </c>
      <c r="J98" s="10">
        <v>43372</v>
      </c>
      <c r="K98" s="12">
        <v>0.38296599999999997</v>
      </c>
      <c r="L98" s="12">
        <v>0.63131899999999996</v>
      </c>
      <c r="M98">
        <v>1.47</v>
      </c>
    </row>
    <row r="99" spans="1:13" x14ac:dyDescent="0.35">
      <c r="A99" t="s">
        <v>15</v>
      </c>
      <c r="B99">
        <v>10</v>
      </c>
      <c r="C99" t="s">
        <v>14</v>
      </c>
      <c r="D99">
        <v>64</v>
      </c>
      <c r="E99">
        <v>4</v>
      </c>
      <c r="F99">
        <v>43580</v>
      </c>
      <c r="G99">
        <v>182364</v>
      </c>
      <c r="H99" s="8">
        <v>0.23897260424206529</v>
      </c>
      <c r="I99" s="12">
        <v>0.236375</v>
      </c>
      <c r="J99" s="10">
        <v>59613</v>
      </c>
      <c r="K99" s="12">
        <v>0.60664600000000002</v>
      </c>
      <c r="L99" s="12">
        <v>0.89543700000000004</v>
      </c>
      <c r="M99">
        <v>1.65</v>
      </c>
    </row>
    <row r="100" spans="1:13" x14ac:dyDescent="0.35">
      <c r="A100" t="s">
        <v>16</v>
      </c>
      <c r="B100">
        <v>10</v>
      </c>
      <c r="C100" t="s">
        <v>14</v>
      </c>
      <c r="D100">
        <v>64</v>
      </c>
      <c r="E100">
        <v>4</v>
      </c>
      <c r="F100">
        <v>36372</v>
      </c>
      <c r="G100">
        <v>189807</v>
      </c>
      <c r="H100" s="8">
        <v>0.1916262308555533</v>
      </c>
      <c r="I100" s="12">
        <v>4.1116E-2</v>
      </c>
      <c r="J100" s="10">
        <v>53622</v>
      </c>
      <c r="K100" s="12">
        <v>0.47488000000000002</v>
      </c>
      <c r="L100" s="12">
        <v>0.89125299999999996</v>
      </c>
      <c r="M100">
        <v>1.41</v>
      </c>
    </row>
    <row r="101" spans="1:13" x14ac:dyDescent="0.35">
      <c r="A101" t="s">
        <v>17</v>
      </c>
      <c r="B101">
        <v>10</v>
      </c>
      <c r="C101" t="s">
        <v>14</v>
      </c>
      <c r="D101">
        <v>64</v>
      </c>
      <c r="E101">
        <v>4</v>
      </c>
      <c r="F101">
        <v>33942</v>
      </c>
      <c r="G101">
        <v>297045</v>
      </c>
      <c r="H101" s="8">
        <v>0.1142655153259607</v>
      </c>
      <c r="I101" s="12">
        <v>3.3669999999999999E-2</v>
      </c>
      <c r="J101" s="10">
        <v>88915</v>
      </c>
      <c r="K101" s="12">
        <v>0.40276699999999999</v>
      </c>
      <c r="L101" s="12">
        <v>0.94670600000000005</v>
      </c>
      <c r="M101">
        <v>2.2599999999999998</v>
      </c>
    </row>
    <row r="102" spans="1:13" x14ac:dyDescent="0.35">
      <c r="A102" t="s">
        <v>18</v>
      </c>
      <c r="B102">
        <v>10</v>
      </c>
      <c r="C102" t="s">
        <v>14</v>
      </c>
      <c r="D102">
        <v>64</v>
      </c>
      <c r="E102">
        <v>4</v>
      </c>
      <c r="F102">
        <v>46021</v>
      </c>
      <c r="G102">
        <v>188692</v>
      </c>
      <c r="H102" s="8">
        <v>0.2438948127106608</v>
      </c>
      <c r="I102" s="12">
        <v>8.5443000000000005E-2</v>
      </c>
      <c r="J102" s="10">
        <v>61666</v>
      </c>
      <c r="K102" s="12">
        <v>0.66822899999999996</v>
      </c>
      <c r="L102" s="12">
        <v>0.89235100000000001</v>
      </c>
      <c r="M102">
        <v>1.6</v>
      </c>
    </row>
    <row r="103" spans="1:13" x14ac:dyDescent="0.35">
      <c r="A103" t="s">
        <v>19</v>
      </c>
      <c r="B103">
        <v>10</v>
      </c>
      <c r="C103" t="s">
        <v>14</v>
      </c>
      <c r="D103">
        <v>64</v>
      </c>
      <c r="E103">
        <v>4</v>
      </c>
      <c r="F103">
        <v>43550</v>
      </c>
      <c r="G103">
        <v>170325</v>
      </c>
      <c r="H103" s="8">
        <v>0.25568765595185672</v>
      </c>
      <c r="I103" s="12">
        <v>4.3547000000000002E-2</v>
      </c>
      <c r="J103" s="10">
        <v>54576</v>
      </c>
      <c r="K103" s="12">
        <v>0.46756799999999998</v>
      </c>
      <c r="L103" s="12">
        <v>0.89602899999999996</v>
      </c>
      <c r="M103">
        <v>1.44</v>
      </c>
    </row>
    <row r="104" spans="1:13" x14ac:dyDescent="0.35">
      <c r="A104" t="s">
        <v>20</v>
      </c>
      <c r="B104">
        <v>10</v>
      </c>
      <c r="C104" t="s">
        <v>14</v>
      </c>
      <c r="D104">
        <v>64</v>
      </c>
      <c r="E104">
        <v>4</v>
      </c>
      <c r="F104">
        <v>62077</v>
      </c>
      <c r="G104">
        <v>145334</v>
      </c>
      <c r="H104" s="8">
        <v>0.42713336177356992</v>
      </c>
      <c r="I104" s="12">
        <v>3.1300000000000002E-4</v>
      </c>
      <c r="J104" s="10">
        <v>55</v>
      </c>
      <c r="K104" s="12">
        <v>0.163636</v>
      </c>
      <c r="L104" s="12">
        <v>0.39130399999999999</v>
      </c>
      <c r="M104">
        <v>1.05</v>
      </c>
    </row>
    <row r="105" spans="1:13" x14ac:dyDescent="0.35">
      <c r="A105" t="s">
        <v>21</v>
      </c>
      <c r="B105">
        <v>10</v>
      </c>
      <c r="C105" t="s">
        <v>14</v>
      </c>
      <c r="D105">
        <v>64</v>
      </c>
      <c r="E105">
        <v>4</v>
      </c>
      <c r="F105">
        <v>53190</v>
      </c>
      <c r="G105">
        <v>168932</v>
      </c>
      <c r="H105" s="8">
        <v>0.31486041720929131</v>
      </c>
      <c r="I105" s="12">
        <v>2.4830000000000001E-2</v>
      </c>
      <c r="J105" s="10">
        <v>38228</v>
      </c>
      <c r="K105" s="12">
        <v>0.80043399999999998</v>
      </c>
      <c r="L105" s="12">
        <v>0.91416699999999995</v>
      </c>
      <c r="M105">
        <v>1.46</v>
      </c>
    </row>
    <row r="106" spans="1:13" x14ac:dyDescent="0.35">
      <c r="A106" t="s">
        <v>13</v>
      </c>
      <c r="B106">
        <v>10</v>
      </c>
      <c r="C106" t="s">
        <v>14</v>
      </c>
      <c r="D106">
        <v>16</v>
      </c>
      <c r="E106">
        <v>16</v>
      </c>
      <c r="F106">
        <v>49513</v>
      </c>
      <c r="G106">
        <v>161008</v>
      </c>
      <c r="H106" s="8">
        <v>0.30751888104938879</v>
      </c>
      <c r="I106" s="12">
        <v>6.6389000000000004E-2</v>
      </c>
      <c r="J106" s="10">
        <v>117813</v>
      </c>
      <c r="K106" s="12">
        <v>0.19803399999999999</v>
      </c>
      <c r="L106" s="12">
        <v>0.83725700000000003</v>
      </c>
      <c r="M106">
        <v>1.38</v>
      </c>
    </row>
    <row r="107" spans="1:13" x14ac:dyDescent="0.35">
      <c r="A107" t="s">
        <v>15</v>
      </c>
      <c r="B107">
        <v>10</v>
      </c>
      <c r="C107" t="s">
        <v>14</v>
      </c>
      <c r="D107">
        <v>16</v>
      </c>
      <c r="E107">
        <v>16</v>
      </c>
      <c r="F107">
        <v>43580</v>
      </c>
      <c r="G107">
        <v>200560</v>
      </c>
      <c r="H107" s="8">
        <v>0.21729158356601519</v>
      </c>
      <c r="I107" s="12">
        <v>9.8318000000000003E-2</v>
      </c>
      <c r="J107" s="10">
        <v>133825</v>
      </c>
      <c r="K107" s="12">
        <v>0.27161600000000002</v>
      </c>
      <c r="L107" s="12">
        <v>0.761459</v>
      </c>
      <c r="M107">
        <v>1.59</v>
      </c>
    </row>
    <row r="108" spans="1:13" x14ac:dyDescent="0.35">
      <c r="A108" t="s">
        <v>16</v>
      </c>
      <c r="B108">
        <v>10</v>
      </c>
      <c r="C108" t="s">
        <v>14</v>
      </c>
      <c r="D108">
        <v>16</v>
      </c>
      <c r="E108">
        <v>16</v>
      </c>
      <c r="F108">
        <v>36372</v>
      </c>
      <c r="G108">
        <v>190484</v>
      </c>
      <c r="H108" s="8">
        <v>0.1909451712479788</v>
      </c>
      <c r="I108" s="12">
        <v>4.1910000000000003E-2</v>
      </c>
      <c r="J108" s="10">
        <v>176232</v>
      </c>
      <c r="K108" s="12">
        <v>0.147811</v>
      </c>
      <c r="L108" s="12">
        <v>0.909659</v>
      </c>
      <c r="M108">
        <v>1.44</v>
      </c>
    </row>
    <row r="109" spans="1:13" x14ac:dyDescent="0.35">
      <c r="A109" t="s">
        <v>17</v>
      </c>
      <c r="B109">
        <v>10</v>
      </c>
      <c r="C109" t="s">
        <v>14</v>
      </c>
      <c r="D109">
        <v>16</v>
      </c>
      <c r="E109">
        <v>16</v>
      </c>
      <c r="F109">
        <v>33942</v>
      </c>
      <c r="G109">
        <v>301245</v>
      </c>
      <c r="H109" s="8">
        <v>0.1126724095005726</v>
      </c>
      <c r="I109" s="12">
        <v>3.6270999999999998E-2</v>
      </c>
      <c r="J109" s="10">
        <v>299622</v>
      </c>
      <c r="K109" s="12">
        <v>0.118913</v>
      </c>
      <c r="L109" s="12">
        <v>0.938025</v>
      </c>
      <c r="M109">
        <v>4.47</v>
      </c>
    </row>
    <row r="110" spans="1:13" x14ac:dyDescent="0.35">
      <c r="A110" t="s">
        <v>18</v>
      </c>
      <c r="B110">
        <v>10</v>
      </c>
      <c r="C110" t="s">
        <v>14</v>
      </c>
      <c r="D110">
        <v>16</v>
      </c>
      <c r="E110">
        <v>16</v>
      </c>
      <c r="F110">
        <v>46021</v>
      </c>
      <c r="G110">
        <v>211237</v>
      </c>
      <c r="H110" s="8">
        <v>0.2178642946074788</v>
      </c>
      <c r="I110" s="12">
        <v>9.3551999999999996E-2</v>
      </c>
      <c r="J110" s="10">
        <v>169091</v>
      </c>
      <c r="K110" s="12">
        <v>0.22733300000000001</v>
      </c>
      <c r="L110" s="12">
        <v>0.808531</v>
      </c>
      <c r="M110">
        <v>2.2200000000000002</v>
      </c>
    </row>
    <row r="111" spans="1:13" x14ac:dyDescent="0.35">
      <c r="A111" t="s">
        <v>19</v>
      </c>
      <c r="B111">
        <v>10</v>
      </c>
      <c r="C111" t="s">
        <v>14</v>
      </c>
      <c r="D111">
        <v>16</v>
      </c>
      <c r="E111">
        <v>16</v>
      </c>
      <c r="F111">
        <v>43550</v>
      </c>
      <c r="G111">
        <v>173009</v>
      </c>
      <c r="H111" s="8">
        <v>0.25172100873364972</v>
      </c>
      <c r="I111" s="12">
        <v>4.8697999999999998E-2</v>
      </c>
      <c r="J111" s="10">
        <v>176699</v>
      </c>
      <c r="K111" s="12">
        <v>0.14519599999999999</v>
      </c>
      <c r="L111" s="12">
        <v>0.89731399999999994</v>
      </c>
      <c r="M111">
        <v>1.71</v>
      </c>
    </row>
    <row r="112" spans="1:13" x14ac:dyDescent="0.35">
      <c r="A112" t="s">
        <v>20</v>
      </c>
      <c r="B112">
        <v>10</v>
      </c>
      <c r="C112" t="s">
        <v>14</v>
      </c>
      <c r="D112">
        <v>16</v>
      </c>
      <c r="E112">
        <v>16</v>
      </c>
      <c r="F112">
        <v>62077</v>
      </c>
      <c r="G112">
        <v>145371</v>
      </c>
      <c r="H112" s="8">
        <v>0.42702464728178252</v>
      </c>
      <c r="I112" s="12">
        <v>4.0299999999999998E-4</v>
      </c>
      <c r="J112" s="10">
        <v>113</v>
      </c>
      <c r="K112" s="12">
        <v>7.0795999999999998E-2</v>
      </c>
      <c r="L112" s="12">
        <v>0.34782600000000002</v>
      </c>
      <c r="M112">
        <v>1.1100000000000001</v>
      </c>
    </row>
    <row r="113" spans="1:13" x14ac:dyDescent="0.35">
      <c r="A113" t="s">
        <v>21</v>
      </c>
      <c r="B113">
        <v>10</v>
      </c>
      <c r="C113" t="s">
        <v>14</v>
      </c>
      <c r="D113">
        <v>16</v>
      </c>
      <c r="E113">
        <v>16</v>
      </c>
      <c r="F113">
        <v>53190</v>
      </c>
      <c r="G113">
        <v>180033</v>
      </c>
      <c r="H113" s="8">
        <v>0.29544583493026277</v>
      </c>
      <c r="I113" s="12">
        <v>6.2817999999999999E-2</v>
      </c>
      <c r="J113" s="10">
        <v>103870</v>
      </c>
      <c r="K113" s="12">
        <v>0.229017</v>
      </c>
      <c r="L113" s="12">
        <v>0.70964499999999997</v>
      </c>
      <c r="M113">
        <v>1.61</v>
      </c>
    </row>
    <row r="114" spans="1:13" x14ac:dyDescent="0.35">
      <c r="A114" t="s">
        <v>13</v>
      </c>
      <c r="B114">
        <v>10</v>
      </c>
      <c r="C114" t="s">
        <v>14</v>
      </c>
      <c r="D114">
        <v>16</v>
      </c>
      <c r="E114">
        <v>32</v>
      </c>
      <c r="F114">
        <v>49513</v>
      </c>
      <c r="G114">
        <v>168033</v>
      </c>
      <c r="H114" s="8">
        <v>0.29466235798920448</v>
      </c>
      <c r="I114" s="12">
        <v>8.5641999999999996E-2</v>
      </c>
      <c r="J114" s="10">
        <v>166136</v>
      </c>
      <c r="K114" s="12">
        <v>0.12797900000000001</v>
      </c>
      <c r="L114" s="12">
        <v>0.75402499999999995</v>
      </c>
      <c r="M114">
        <v>1.67</v>
      </c>
    </row>
    <row r="115" spans="1:13" x14ac:dyDescent="0.35">
      <c r="A115" t="s">
        <v>15</v>
      </c>
      <c r="B115">
        <v>10</v>
      </c>
      <c r="C115" t="s">
        <v>14</v>
      </c>
      <c r="D115">
        <v>16</v>
      </c>
      <c r="E115">
        <v>32</v>
      </c>
      <c r="F115">
        <v>43580</v>
      </c>
      <c r="G115">
        <v>217071</v>
      </c>
      <c r="H115" s="8">
        <v>0.20076380539086289</v>
      </c>
      <c r="I115" s="12">
        <v>0.13374</v>
      </c>
      <c r="J115" s="10">
        <v>160823</v>
      </c>
      <c r="K115" s="12">
        <v>0.17891699999999999</v>
      </c>
      <c r="L115" s="12">
        <v>0.60250899999999996</v>
      </c>
      <c r="M115">
        <v>1.75</v>
      </c>
    </row>
    <row r="116" spans="1:13" x14ac:dyDescent="0.35">
      <c r="A116" t="s">
        <v>16</v>
      </c>
      <c r="B116">
        <v>10</v>
      </c>
      <c r="C116" t="s">
        <v>14</v>
      </c>
      <c r="D116">
        <v>16</v>
      </c>
      <c r="E116">
        <v>32</v>
      </c>
      <c r="F116">
        <v>36372</v>
      </c>
      <c r="G116">
        <v>194026</v>
      </c>
      <c r="H116" s="8">
        <v>0.1874594126560358</v>
      </c>
      <c r="I116" s="12">
        <v>6.0555999999999999E-2</v>
      </c>
      <c r="J116" s="10">
        <v>235656</v>
      </c>
      <c r="K116" s="12">
        <v>0.10244200000000001</v>
      </c>
      <c r="L116" s="12">
        <v>0.842059</v>
      </c>
      <c r="M116">
        <v>1.42</v>
      </c>
    </row>
    <row r="117" spans="1:13" x14ac:dyDescent="0.35">
      <c r="A117" t="s">
        <v>17</v>
      </c>
      <c r="B117">
        <v>10</v>
      </c>
      <c r="C117" t="s">
        <v>14</v>
      </c>
      <c r="D117">
        <v>16</v>
      </c>
      <c r="E117">
        <v>32</v>
      </c>
      <c r="F117">
        <v>33942</v>
      </c>
      <c r="G117">
        <v>318209</v>
      </c>
      <c r="H117" s="8">
        <v>0.106665744840655</v>
      </c>
      <c r="I117" s="12">
        <v>6.0345999999999997E-2</v>
      </c>
      <c r="J117" s="10">
        <v>407882</v>
      </c>
      <c r="K117" s="12">
        <v>7.3950000000000002E-2</v>
      </c>
      <c r="L117" s="12">
        <v>0.79351300000000002</v>
      </c>
      <c r="M117">
        <v>2.61</v>
      </c>
    </row>
    <row r="118" spans="1:13" x14ac:dyDescent="0.35">
      <c r="A118" t="s">
        <v>18</v>
      </c>
      <c r="B118">
        <v>10</v>
      </c>
      <c r="C118" t="s">
        <v>14</v>
      </c>
      <c r="D118">
        <v>16</v>
      </c>
      <c r="E118">
        <v>32</v>
      </c>
      <c r="F118">
        <v>46021</v>
      </c>
      <c r="G118">
        <v>224600</v>
      </c>
      <c r="H118" s="8">
        <v>0.20490204808548529</v>
      </c>
      <c r="I118" s="12">
        <v>0.114687</v>
      </c>
      <c r="J118" s="10">
        <v>238605</v>
      </c>
      <c r="K118" s="12">
        <v>0.13900799999999999</v>
      </c>
      <c r="L118" s="12">
        <v>0.694967</v>
      </c>
      <c r="M118">
        <v>1.75</v>
      </c>
    </row>
    <row r="119" spans="1:13" x14ac:dyDescent="0.35">
      <c r="A119" t="s">
        <v>19</v>
      </c>
      <c r="B119">
        <v>10</v>
      </c>
      <c r="C119" t="s">
        <v>14</v>
      </c>
      <c r="D119">
        <v>16</v>
      </c>
      <c r="E119">
        <v>32</v>
      </c>
      <c r="F119">
        <v>43550</v>
      </c>
      <c r="G119">
        <v>193212</v>
      </c>
      <c r="H119" s="8">
        <v>0.2254000786700619</v>
      </c>
      <c r="I119" s="12">
        <v>8.4768999999999997E-2</v>
      </c>
      <c r="J119" s="10">
        <v>229156</v>
      </c>
      <c r="K119" s="12">
        <v>9.4529000000000002E-2</v>
      </c>
      <c r="L119" s="12">
        <v>0.75927100000000003</v>
      </c>
      <c r="M119">
        <v>1.62</v>
      </c>
    </row>
    <row r="120" spans="1:13" x14ac:dyDescent="0.35">
      <c r="A120" t="s">
        <v>20</v>
      </c>
      <c r="B120">
        <v>10</v>
      </c>
      <c r="C120" t="s">
        <v>14</v>
      </c>
      <c r="D120">
        <v>16</v>
      </c>
      <c r="E120">
        <v>32</v>
      </c>
      <c r="F120">
        <v>62077</v>
      </c>
      <c r="G120">
        <v>145375</v>
      </c>
      <c r="H120" s="8">
        <v>0.42701289767841788</v>
      </c>
      <c r="I120" s="12">
        <v>4.7199999999999998E-4</v>
      </c>
      <c r="J120" s="10">
        <v>103</v>
      </c>
      <c r="K120" s="12">
        <v>7.7670000000000003E-2</v>
      </c>
      <c r="L120" s="12">
        <v>0.32</v>
      </c>
      <c r="M120">
        <v>1.08</v>
      </c>
    </row>
    <row r="121" spans="1:13" x14ac:dyDescent="0.35">
      <c r="A121" t="s">
        <v>21</v>
      </c>
      <c r="B121">
        <v>10</v>
      </c>
      <c r="C121" t="s">
        <v>14</v>
      </c>
      <c r="D121">
        <v>16</v>
      </c>
      <c r="E121">
        <v>32</v>
      </c>
      <c r="F121">
        <v>53190</v>
      </c>
      <c r="G121">
        <v>184510</v>
      </c>
      <c r="H121" s="8">
        <v>0.2882770581540296</v>
      </c>
      <c r="I121" s="12">
        <v>0.10108</v>
      </c>
      <c r="J121" s="10">
        <v>126297</v>
      </c>
      <c r="K121" s="12">
        <v>0.15553</v>
      </c>
      <c r="L121" s="12">
        <v>0.58600799999999997</v>
      </c>
      <c r="M121">
        <v>1.69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61EF-C124-47C3-8951-0338D3730893}">
  <dimension ref="A1:P79"/>
  <sheetViews>
    <sheetView topLeftCell="A64" workbookViewId="0">
      <selection activeCell="B77" sqref="B77"/>
    </sheetView>
  </sheetViews>
  <sheetFormatPr defaultRowHeight="14.5" x14ac:dyDescent="0.35"/>
  <cols>
    <col min="1" max="2" width="8.81640625" bestFit="1" customWidth="1"/>
    <col min="3" max="3" width="10.7265625" bestFit="1" customWidth="1"/>
    <col min="4" max="4" width="12.453125" bestFit="1" customWidth="1"/>
    <col min="5" max="5" width="16.81640625" bestFit="1" customWidth="1"/>
    <col min="6" max="6" width="23" bestFit="1" customWidth="1"/>
    <col min="7" max="7" width="17.453125" bestFit="1" customWidth="1"/>
    <col min="8" max="8" width="20.36328125" bestFit="1" customWidth="1"/>
    <col min="9" max="9" width="12.1796875" bestFit="1" customWidth="1"/>
    <col min="10" max="10" width="6.453125" bestFit="1" customWidth="1"/>
    <col min="11" max="11" width="8.54296875" style="8" bestFit="1" customWidth="1"/>
    <col min="12" max="12" width="12.1796875" bestFit="1" customWidth="1"/>
    <col min="13" max="13" width="16.81640625" bestFit="1" customWidth="1"/>
    <col min="14" max="15" width="8.54296875" bestFit="1" customWidth="1"/>
    <col min="16" max="16" width="16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86</v>
      </c>
      <c r="E1" s="1" t="s">
        <v>57</v>
      </c>
      <c r="F1" s="1" t="s">
        <v>60</v>
      </c>
      <c r="G1" s="1" t="s">
        <v>4</v>
      </c>
      <c r="H1" s="1" t="s">
        <v>87</v>
      </c>
      <c r="I1" s="1" t="s">
        <v>5</v>
      </c>
      <c r="J1" s="1" t="s">
        <v>6</v>
      </c>
      <c r="K1" s="7" t="s">
        <v>7</v>
      </c>
      <c r="L1" s="11" t="s">
        <v>8</v>
      </c>
      <c r="M1" s="9" t="s">
        <v>9</v>
      </c>
      <c r="N1" s="11" t="s">
        <v>10</v>
      </c>
      <c r="O1" s="11" t="s">
        <v>11</v>
      </c>
      <c r="P1" s="1" t="s">
        <v>12</v>
      </c>
    </row>
    <row r="2" spans="1:16" x14ac:dyDescent="0.35">
      <c r="A2" t="s">
        <v>13</v>
      </c>
      <c r="B2">
        <v>1</v>
      </c>
      <c r="C2" t="s">
        <v>14</v>
      </c>
      <c r="D2">
        <v>0</v>
      </c>
      <c r="E2">
        <v>2</v>
      </c>
      <c r="F2">
        <v>4</v>
      </c>
      <c r="G2">
        <v>4</v>
      </c>
      <c r="H2">
        <v>8</v>
      </c>
      <c r="I2">
        <v>5058</v>
      </c>
      <c r="J2">
        <v>30667</v>
      </c>
      <c r="K2" s="8" cm="1">
        <f t="array" ref="K2:K73" xml:space="preserve"> I2:I73 / J2:J73</f>
        <v>0.16493298985880589</v>
      </c>
    </row>
    <row r="3" spans="1:16" x14ac:dyDescent="0.35">
      <c r="A3" t="s">
        <v>15</v>
      </c>
      <c r="B3">
        <v>1</v>
      </c>
      <c r="C3" t="s">
        <v>14</v>
      </c>
      <c r="D3">
        <v>0</v>
      </c>
      <c r="E3">
        <v>2</v>
      </c>
      <c r="F3">
        <v>4</v>
      </c>
      <c r="G3">
        <v>4</v>
      </c>
      <c r="H3">
        <v>8</v>
      </c>
      <c r="I3">
        <v>4417</v>
      </c>
      <c r="J3">
        <v>19283</v>
      </c>
      <c r="K3" s="8">
        <v>0.22906186796660272</v>
      </c>
    </row>
    <row r="4" spans="1:16" x14ac:dyDescent="0.35">
      <c r="A4" t="s">
        <v>16</v>
      </c>
      <c r="B4">
        <v>1</v>
      </c>
      <c r="C4" t="s">
        <v>14</v>
      </c>
      <c r="D4">
        <v>0</v>
      </c>
      <c r="E4">
        <v>2</v>
      </c>
      <c r="F4">
        <v>4</v>
      </c>
      <c r="G4">
        <v>4</v>
      </c>
      <c r="H4">
        <v>8</v>
      </c>
      <c r="I4">
        <v>3696</v>
      </c>
      <c r="J4">
        <v>18216</v>
      </c>
      <c r="K4" s="8">
        <v>0.20289855072463769</v>
      </c>
    </row>
    <row r="5" spans="1:16" x14ac:dyDescent="0.35">
      <c r="A5" t="s">
        <v>17</v>
      </c>
      <c r="B5">
        <v>1</v>
      </c>
      <c r="C5" t="s">
        <v>14</v>
      </c>
      <c r="D5">
        <v>0</v>
      </c>
      <c r="E5">
        <v>2</v>
      </c>
      <c r="F5">
        <v>4</v>
      </c>
      <c r="G5">
        <v>4</v>
      </c>
      <c r="H5">
        <v>8</v>
      </c>
      <c r="I5">
        <v>3455</v>
      </c>
      <c r="J5">
        <v>32292</v>
      </c>
      <c r="K5" s="8">
        <v>0.10699244394896569</v>
      </c>
    </row>
    <row r="6" spans="1:16" x14ac:dyDescent="0.35">
      <c r="A6" t="s">
        <v>18</v>
      </c>
      <c r="B6">
        <v>1</v>
      </c>
      <c r="C6" t="s">
        <v>14</v>
      </c>
      <c r="D6">
        <v>0</v>
      </c>
      <c r="E6">
        <v>2</v>
      </c>
      <c r="F6">
        <v>4</v>
      </c>
      <c r="G6">
        <v>4</v>
      </c>
      <c r="H6">
        <v>8</v>
      </c>
      <c r="I6">
        <v>4673</v>
      </c>
      <c r="J6">
        <v>23397</v>
      </c>
      <c r="K6" s="8">
        <v>0.19972646065734923</v>
      </c>
    </row>
    <row r="7" spans="1:16" x14ac:dyDescent="0.35">
      <c r="A7" t="s">
        <v>19</v>
      </c>
      <c r="B7">
        <v>1</v>
      </c>
      <c r="C7" t="s">
        <v>14</v>
      </c>
      <c r="D7">
        <v>0</v>
      </c>
      <c r="E7">
        <v>2</v>
      </c>
      <c r="F7">
        <v>4</v>
      </c>
      <c r="G7">
        <v>4</v>
      </c>
      <c r="H7">
        <v>8</v>
      </c>
      <c r="I7">
        <v>4414</v>
      </c>
      <c r="J7">
        <v>15939</v>
      </c>
      <c r="K7" s="8">
        <v>0.27693079866992909</v>
      </c>
    </row>
    <row r="8" spans="1:16" x14ac:dyDescent="0.35">
      <c r="A8" t="s">
        <v>20</v>
      </c>
      <c r="B8">
        <v>1</v>
      </c>
      <c r="C8" t="s">
        <v>14</v>
      </c>
      <c r="D8">
        <v>0</v>
      </c>
      <c r="E8">
        <v>2</v>
      </c>
      <c r="F8">
        <v>4</v>
      </c>
      <c r="G8">
        <v>4</v>
      </c>
      <c r="H8">
        <v>8</v>
      </c>
      <c r="I8">
        <v>6277</v>
      </c>
      <c r="J8">
        <v>14936</v>
      </c>
      <c r="K8" s="8">
        <v>0.42025977504017142</v>
      </c>
    </row>
    <row r="9" spans="1:16" x14ac:dyDescent="0.35">
      <c r="A9" t="s">
        <v>21</v>
      </c>
      <c r="B9">
        <v>1</v>
      </c>
      <c r="C9" t="s">
        <v>14</v>
      </c>
      <c r="D9">
        <v>0</v>
      </c>
      <c r="E9">
        <v>2</v>
      </c>
      <c r="F9">
        <v>4</v>
      </c>
      <c r="G9">
        <v>4</v>
      </c>
      <c r="H9">
        <v>8</v>
      </c>
      <c r="I9">
        <v>5379</v>
      </c>
      <c r="J9">
        <v>26608</v>
      </c>
      <c r="K9" s="8">
        <v>0.20215724594107035</v>
      </c>
    </row>
    <row r="10" spans="1:16" x14ac:dyDescent="0.35">
      <c r="A10" t="s">
        <v>13</v>
      </c>
      <c r="B10">
        <v>1</v>
      </c>
      <c r="C10" t="s">
        <v>14</v>
      </c>
      <c r="D10">
        <v>4</v>
      </c>
      <c r="E10">
        <v>2</v>
      </c>
      <c r="F10">
        <v>4</v>
      </c>
      <c r="G10">
        <v>4</v>
      </c>
      <c r="H10">
        <v>8</v>
      </c>
      <c r="I10">
        <v>5058</v>
      </c>
      <c r="J10">
        <v>30667</v>
      </c>
      <c r="K10" s="8">
        <v>0.16493298985880589</v>
      </c>
    </row>
    <row r="11" spans="1:16" x14ac:dyDescent="0.35">
      <c r="A11" t="s">
        <v>15</v>
      </c>
      <c r="B11">
        <v>1</v>
      </c>
      <c r="C11" t="s">
        <v>14</v>
      </c>
      <c r="D11">
        <v>4</v>
      </c>
      <c r="E11">
        <v>2</v>
      </c>
      <c r="F11">
        <v>4</v>
      </c>
      <c r="G11">
        <v>4</v>
      </c>
      <c r="H11">
        <v>8</v>
      </c>
      <c r="I11">
        <v>4417</v>
      </c>
      <c r="J11">
        <v>19277</v>
      </c>
      <c r="K11" s="8">
        <v>0.22913316387404678</v>
      </c>
    </row>
    <row r="12" spans="1:16" x14ac:dyDescent="0.35">
      <c r="A12" t="s">
        <v>16</v>
      </c>
      <c r="B12">
        <v>1</v>
      </c>
      <c r="C12" t="s">
        <v>14</v>
      </c>
      <c r="D12">
        <v>4</v>
      </c>
      <c r="E12">
        <v>2</v>
      </c>
      <c r="F12">
        <v>4</v>
      </c>
      <c r="G12">
        <v>4</v>
      </c>
      <c r="H12">
        <v>8</v>
      </c>
      <c r="I12">
        <v>3696</v>
      </c>
      <c r="J12">
        <v>18353</v>
      </c>
      <c r="K12" s="8">
        <v>0.20138396992317331</v>
      </c>
    </row>
    <row r="13" spans="1:16" x14ac:dyDescent="0.35">
      <c r="A13" t="s">
        <v>17</v>
      </c>
      <c r="B13">
        <v>1</v>
      </c>
      <c r="C13" t="s">
        <v>14</v>
      </c>
      <c r="D13">
        <v>4</v>
      </c>
      <c r="E13">
        <v>2</v>
      </c>
      <c r="F13">
        <v>4</v>
      </c>
      <c r="G13">
        <v>4</v>
      </c>
      <c r="H13">
        <v>8</v>
      </c>
      <c r="I13">
        <v>3455</v>
      </c>
      <c r="J13">
        <v>32572</v>
      </c>
      <c r="K13" s="8">
        <v>0.10607270047893896</v>
      </c>
    </row>
    <row r="14" spans="1:16" x14ac:dyDescent="0.35">
      <c r="A14" t="s">
        <v>18</v>
      </c>
      <c r="B14">
        <v>1</v>
      </c>
      <c r="C14" t="s">
        <v>14</v>
      </c>
      <c r="D14">
        <v>4</v>
      </c>
      <c r="E14">
        <v>2</v>
      </c>
      <c r="F14">
        <v>4</v>
      </c>
      <c r="G14">
        <v>4</v>
      </c>
      <c r="H14">
        <v>8</v>
      </c>
      <c r="I14">
        <v>4673</v>
      </c>
      <c r="J14">
        <v>23397</v>
      </c>
      <c r="K14" s="8">
        <v>0.19972646065734923</v>
      </c>
    </row>
    <row r="15" spans="1:16" x14ac:dyDescent="0.35">
      <c r="A15" t="s">
        <v>19</v>
      </c>
      <c r="B15">
        <v>1</v>
      </c>
      <c r="C15" t="s">
        <v>14</v>
      </c>
      <c r="D15">
        <v>4</v>
      </c>
      <c r="E15">
        <v>2</v>
      </c>
      <c r="F15">
        <v>4</v>
      </c>
      <c r="G15">
        <v>4</v>
      </c>
      <c r="H15">
        <v>8</v>
      </c>
      <c r="I15">
        <v>4414</v>
      </c>
      <c r="J15">
        <v>16054</v>
      </c>
      <c r="K15" s="8">
        <v>0.27494705369378347</v>
      </c>
    </row>
    <row r="16" spans="1:16" x14ac:dyDescent="0.35">
      <c r="A16" t="s">
        <v>20</v>
      </c>
      <c r="B16">
        <v>1</v>
      </c>
      <c r="C16" t="s">
        <v>14</v>
      </c>
      <c r="D16">
        <v>4</v>
      </c>
      <c r="E16">
        <v>2</v>
      </c>
      <c r="F16">
        <v>4</v>
      </c>
      <c r="G16">
        <v>4</v>
      </c>
      <c r="H16">
        <v>8</v>
      </c>
      <c r="I16">
        <v>6277</v>
      </c>
      <c r="J16">
        <v>14936</v>
      </c>
      <c r="K16" s="8">
        <v>0.42025977504017142</v>
      </c>
    </row>
    <row r="17" spans="1:11" x14ac:dyDescent="0.35">
      <c r="A17" t="s">
        <v>21</v>
      </c>
      <c r="B17">
        <v>1</v>
      </c>
      <c r="C17" t="s">
        <v>14</v>
      </c>
      <c r="D17">
        <v>4</v>
      </c>
      <c r="E17">
        <v>2</v>
      </c>
      <c r="F17">
        <v>4</v>
      </c>
      <c r="G17">
        <v>4</v>
      </c>
      <c r="H17">
        <v>8</v>
      </c>
      <c r="I17">
        <v>5379</v>
      </c>
      <c r="J17">
        <v>26606</v>
      </c>
      <c r="K17" s="8">
        <v>0.2021724423062467</v>
      </c>
    </row>
    <row r="18" spans="1:11" x14ac:dyDescent="0.35">
      <c r="A18" t="s">
        <v>13</v>
      </c>
      <c r="B18">
        <v>1</v>
      </c>
      <c r="C18" t="s">
        <v>14</v>
      </c>
      <c r="D18">
        <v>0</v>
      </c>
      <c r="E18">
        <v>1</v>
      </c>
      <c r="F18">
        <v>4</v>
      </c>
      <c r="G18">
        <v>4</v>
      </c>
      <c r="H18">
        <v>8</v>
      </c>
      <c r="I18">
        <v>5058</v>
      </c>
      <c r="J18">
        <v>30667</v>
      </c>
      <c r="K18" s="8">
        <v>0.16493298985880589</v>
      </c>
    </row>
    <row r="19" spans="1:11" x14ac:dyDescent="0.35">
      <c r="A19" t="s">
        <v>15</v>
      </c>
      <c r="B19">
        <v>1</v>
      </c>
      <c r="C19" t="s">
        <v>14</v>
      </c>
      <c r="D19">
        <v>0</v>
      </c>
      <c r="E19">
        <v>1</v>
      </c>
      <c r="F19">
        <v>4</v>
      </c>
      <c r="G19">
        <v>4</v>
      </c>
      <c r="H19">
        <v>8</v>
      </c>
      <c r="I19">
        <v>4417</v>
      </c>
      <c r="J19">
        <v>19283</v>
      </c>
      <c r="K19" s="8">
        <v>0.22906186796660272</v>
      </c>
    </row>
    <row r="20" spans="1:11" x14ac:dyDescent="0.35">
      <c r="A20" t="s">
        <v>16</v>
      </c>
      <c r="B20">
        <v>1</v>
      </c>
      <c r="C20" t="s">
        <v>14</v>
      </c>
      <c r="D20">
        <v>0</v>
      </c>
      <c r="E20">
        <v>1</v>
      </c>
      <c r="F20">
        <v>4</v>
      </c>
      <c r="G20">
        <v>4</v>
      </c>
      <c r="H20">
        <v>8</v>
      </c>
      <c r="I20">
        <v>3696</v>
      </c>
      <c r="J20">
        <v>18216</v>
      </c>
      <c r="K20" s="8">
        <v>0.20289855072463769</v>
      </c>
    </row>
    <row r="21" spans="1:11" x14ac:dyDescent="0.35">
      <c r="A21" t="s">
        <v>17</v>
      </c>
      <c r="B21">
        <v>1</v>
      </c>
      <c r="C21" t="s">
        <v>14</v>
      </c>
      <c r="D21">
        <v>0</v>
      </c>
      <c r="E21">
        <v>1</v>
      </c>
      <c r="F21">
        <v>4</v>
      </c>
      <c r="G21">
        <v>4</v>
      </c>
      <c r="H21">
        <v>8</v>
      </c>
      <c r="I21">
        <v>3455</v>
      </c>
      <c r="J21">
        <v>32292</v>
      </c>
      <c r="K21" s="8">
        <v>0.10699244394896569</v>
      </c>
    </row>
    <row r="22" spans="1:11" x14ac:dyDescent="0.35">
      <c r="A22" t="s">
        <v>18</v>
      </c>
      <c r="B22">
        <v>1</v>
      </c>
      <c r="C22" t="s">
        <v>14</v>
      </c>
      <c r="D22">
        <v>0</v>
      </c>
      <c r="E22">
        <v>1</v>
      </c>
      <c r="F22">
        <v>4</v>
      </c>
      <c r="G22">
        <v>4</v>
      </c>
      <c r="H22">
        <v>8</v>
      </c>
      <c r="I22">
        <v>4673</v>
      </c>
      <c r="J22">
        <v>23397</v>
      </c>
      <c r="K22" s="8">
        <v>0.19972646065734923</v>
      </c>
    </row>
    <row r="23" spans="1:11" x14ac:dyDescent="0.35">
      <c r="A23" t="s">
        <v>19</v>
      </c>
      <c r="B23">
        <v>1</v>
      </c>
      <c r="C23" t="s">
        <v>14</v>
      </c>
      <c r="D23">
        <v>0</v>
      </c>
      <c r="E23">
        <v>1</v>
      </c>
      <c r="F23">
        <v>4</v>
      </c>
      <c r="G23">
        <v>4</v>
      </c>
      <c r="H23">
        <v>8</v>
      </c>
      <c r="I23">
        <v>4414</v>
      </c>
      <c r="J23">
        <v>15939</v>
      </c>
      <c r="K23" s="8">
        <v>0.27693079866992909</v>
      </c>
    </row>
    <row r="24" spans="1:11" x14ac:dyDescent="0.35">
      <c r="A24" t="s">
        <v>20</v>
      </c>
      <c r="B24">
        <v>1</v>
      </c>
      <c r="C24" t="s">
        <v>14</v>
      </c>
      <c r="D24">
        <v>0</v>
      </c>
      <c r="E24">
        <v>1</v>
      </c>
      <c r="F24">
        <v>4</v>
      </c>
      <c r="G24">
        <v>4</v>
      </c>
      <c r="H24">
        <v>8</v>
      </c>
      <c r="I24">
        <v>6277</v>
      </c>
      <c r="J24">
        <v>14936</v>
      </c>
      <c r="K24" s="8">
        <v>0.42025977504017142</v>
      </c>
    </row>
    <row r="25" spans="1:11" x14ac:dyDescent="0.35">
      <c r="A25" t="s">
        <v>21</v>
      </c>
      <c r="B25">
        <v>1</v>
      </c>
      <c r="C25" t="s">
        <v>14</v>
      </c>
      <c r="D25">
        <v>0</v>
      </c>
      <c r="E25">
        <v>1</v>
      </c>
      <c r="F25">
        <v>4</v>
      </c>
      <c r="G25">
        <v>4</v>
      </c>
      <c r="H25">
        <v>8</v>
      </c>
      <c r="I25">
        <v>5379</v>
      </c>
      <c r="J25">
        <v>26608</v>
      </c>
      <c r="K25" s="8">
        <v>0.20215724594107035</v>
      </c>
    </row>
    <row r="26" spans="1:11" x14ac:dyDescent="0.35">
      <c r="A26" t="s">
        <v>13</v>
      </c>
      <c r="B26">
        <v>1</v>
      </c>
      <c r="C26" t="s">
        <v>14</v>
      </c>
      <c r="D26">
        <v>0</v>
      </c>
      <c r="E26">
        <v>4</v>
      </c>
      <c r="F26">
        <v>4</v>
      </c>
      <c r="G26">
        <v>4</v>
      </c>
      <c r="H26">
        <v>8</v>
      </c>
      <c r="I26">
        <v>5058</v>
      </c>
      <c r="J26">
        <v>30667</v>
      </c>
      <c r="K26" s="8">
        <v>0.16493298985880589</v>
      </c>
    </row>
    <row r="27" spans="1:11" x14ac:dyDescent="0.35">
      <c r="A27" t="s">
        <v>15</v>
      </c>
      <c r="B27">
        <v>1</v>
      </c>
      <c r="C27" t="s">
        <v>14</v>
      </c>
      <c r="D27">
        <v>0</v>
      </c>
      <c r="E27">
        <v>4</v>
      </c>
      <c r="F27">
        <v>4</v>
      </c>
      <c r="G27">
        <v>4</v>
      </c>
      <c r="H27">
        <v>8</v>
      </c>
      <c r="I27">
        <v>4417</v>
      </c>
      <c r="J27">
        <v>21111</v>
      </c>
      <c r="K27" s="8">
        <v>0.20922741698640518</v>
      </c>
    </row>
    <row r="28" spans="1:11" x14ac:dyDescent="0.35">
      <c r="A28" t="s">
        <v>16</v>
      </c>
      <c r="B28">
        <v>1</v>
      </c>
      <c r="C28" t="s">
        <v>14</v>
      </c>
      <c r="D28">
        <v>0</v>
      </c>
      <c r="E28">
        <v>4</v>
      </c>
      <c r="F28">
        <v>4</v>
      </c>
      <c r="G28">
        <v>4</v>
      </c>
      <c r="H28">
        <v>8</v>
      </c>
      <c r="I28">
        <v>3696</v>
      </c>
      <c r="J28">
        <v>18737</v>
      </c>
      <c r="K28" s="8">
        <v>0.19725676469018519</v>
      </c>
    </row>
    <row r="29" spans="1:11" x14ac:dyDescent="0.35">
      <c r="A29" t="s">
        <v>17</v>
      </c>
      <c r="B29">
        <v>1</v>
      </c>
      <c r="C29" t="s">
        <v>14</v>
      </c>
      <c r="D29">
        <v>0</v>
      </c>
      <c r="E29">
        <v>4</v>
      </c>
      <c r="F29">
        <v>4</v>
      </c>
      <c r="G29">
        <v>4</v>
      </c>
      <c r="H29">
        <v>8</v>
      </c>
      <c r="I29">
        <v>3455</v>
      </c>
      <c r="J29">
        <v>33404</v>
      </c>
      <c r="K29" s="8">
        <v>0.1034307268590588</v>
      </c>
    </row>
    <row r="30" spans="1:11" x14ac:dyDescent="0.35">
      <c r="A30" t="s">
        <v>18</v>
      </c>
      <c r="B30">
        <v>1</v>
      </c>
      <c r="C30" t="s">
        <v>14</v>
      </c>
      <c r="D30">
        <v>0</v>
      </c>
      <c r="E30">
        <v>4</v>
      </c>
      <c r="F30">
        <v>4</v>
      </c>
      <c r="G30">
        <v>4</v>
      </c>
      <c r="H30">
        <v>8</v>
      </c>
      <c r="I30">
        <v>4673</v>
      </c>
      <c r="J30">
        <v>23397</v>
      </c>
      <c r="K30" s="8">
        <v>0.19972646065734923</v>
      </c>
    </row>
    <row r="31" spans="1:11" x14ac:dyDescent="0.35">
      <c r="A31" t="s">
        <v>19</v>
      </c>
      <c r="B31">
        <v>1</v>
      </c>
      <c r="C31" t="s">
        <v>14</v>
      </c>
      <c r="D31">
        <v>0</v>
      </c>
      <c r="E31">
        <v>4</v>
      </c>
      <c r="F31">
        <v>4</v>
      </c>
      <c r="G31">
        <v>4</v>
      </c>
      <c r="H31">
        <v>8</v>
      </c>
      <c r="I31">
        <v>4414</v>
      </c>
      <c r="J31">
        <v>16035</v>
      </c>
      <c r="K31" s="8">
        <v>0.27527284066105395</v>
      </c>
    </row>
    <row r="32" spans="1:11" x14ac:dyDescent="0.35">
      <c r="A32" t="s">
        <v>20</v>
      </c>
      <c r="B32">
        <v>1</v>
      </c>
      <c r="C32" t="s">
        <v>14</v>
      </c>
      <c r="D32">
        <v>0</v>
      </c>
      <c r="E32">
        <v>4</v>
      </c>
      <c r="F32">
        <v>4</v>
      </c>
      <c r="G32">
        <v>4</v>
      </c>
      <c r="H32">
        <v>8</v>
      </c>
      <c r="I32">
        <v>6277</v>
      </c>
      <c r="J32">
        <v>14936</v>
      </c>
      <c r="K32" s="8">
        <v>0.42025977504017142</v>
      </c>
    </row>
    <row r="33" spans="1:11" x14ac:dyDescent="0.35">
      <c r="A33" t="s">
        <v>21</v>
      </c>
      <c r="B33">
        <v>1</v>
      </c>
      <c r="C33" t="s">
        <v>14</v>
      </c>
      <c r="D33">
        <v>0</v>
      </c>
      <c r="E33">
        <v>4</v>
      </c>
      <c r="F33">
        <v>4</v>
      </c>
      <c r="G33">
        <v>4</v>
      </c>
      <c r="H33">
        <v>8</v>
      </c>
      <c r="I33">
        <v>5379</v>
      </c>
      <c r="J33">
        <v>26606</v>
      </c>
      <c r="K33" s="8">
        <v>0.2021724423062467</v>
      </c>
    </row>
    <row r="34" spans="1:11" x14ac:dyDescent="0.35">
      <c r="A34" t="s">
        <v>13</v>
      </c>
      <c r="B34">
        <v>1</v>
      </c>
      <c r="C34" t="s">
        <v>14</v>
      </c>
      <c r="D34">
        <v>0</v>
      </c>
      <c r="E34">
        <v>2</v>
      </c>
      <c r="F34">
        <v>2</v>
      </c>
      <c r="G34">
        <v>4</v>
      </c>
      <c r="H34">
        <v>8</v>
      </c>
      <c r="I34">
        <v>5058</v>
      </c>
      <c r="J34">
        <v>25899</v>
      </c>
      <c r="K34" s="8">
        <v>0.19529711571875363</v>
      </c>
    </row>
    <row r="35" spans="1:11" x14ac:dyDescent="0.35">
      <c r="A35" t="s">
        <v>15</v>
      </c>
      <c r="B35">
        <v>1</v>
      </c>
      <c r="C35" t="s">
        <v>14</v>
      </c>
      <c r="D35">
        <v>0</v>
      </c>
      <c r="E35">
        <v>2</v>
      </c>
      <c r="F35">
        <v>2</v>
      </c>
      <c r="G35">
        <v>4</v>
      </c>
      <c r="H35">
        <v>8</v>
      </c>
      <c r="I35">
        <v>4417</v>
      </c>
      <c r="J35">
        <v>19563</v>
      </c>
      <c r="K35" s="8">
        <v>0.22578336655932116</v>
      </c>
    </row>
    <row r="36" spans="1:11" x14ac:dyDescent="0.35">
      <c r="A36" t="s">
        <v>16</v>
      </c>
      <c r="B36">
        <v>1</v>
      </c>
      <c r="C36" t="s">
        <v>14</v>
      </c>
      <c r="D36">
        <v>0</v>
      </c>
      <c r="E36">
        <v>2</v>
      </c>
      <c r="F36">
        <v>2</v>
      </c>
      <c r="G36">
        <v>4</v>
      </c>
      <c r="H36">
        <v>8</v>
      </c>
      <c r="I36">
        <v>3696</v>
      </c>
      <c r="J36">
        <v>18080</v>
      </c>
      <c r="K36" s="8">
        <v>0.20442477876106194</v>
      </c>
    </row>
    <row r="37" spans="1:11" x14ac:dyDescent="0.35">
      <c r="A37" t="s">
        <v>17</v>
      </c>
      <c r="B37">
        <v>1</v>
      </c>
      <c r="C37" t="s">
        <v>14</v>
      </c>
      <c r="D37">
        <v>0</v>
      </c>
      <c r="E37">
        <v>2</v>
      </c>
      <c r="F37">
        <v>2</v>
      </c>
      <c r="G37">
        <v>4</v>
      </c>
      <c r="H37">
        <v>8</v>
      </c>
      <c r="I37">
        <v>3455</v>
      </c>
      <c r="J37">
        <v>36640</v>
      </c>
      <c r="K37" s="8">
        <v>9.4295851528384281E-2</v>
      </c>
    </row>
    <row r="38" spans="1:11" x14ac:dyDescent="0.35">
      <c r="A38" t="s">
        <v>18</v>
      </c>
      <c r="B38">
        <v>1</v>
      </c>
      <c r="C38" t="s">
        <v>14</v>
      </c>
      <c r="D38">
        <v>0</v>
      </c>
      <c r="E38">
        <v>2</v>
      </c>
      <c r="F38">
        <v>2</v>
      </c>
      <c r="G38">
        <v>4</v>
      </c>
      <c r="H38">
        <v>8</v>
      </c>
      <c r="I38">
        <v>4673</v>
      </c>
      <c r="J38">
        <v>23274</v>
      </c>
      <c r="K38" s="8">
        <v>0.20078198848500473</v>
      </c>
    </row>
    <row r="39" spans="1:11" x14ac:dyDescent="0.35">
      <c r="A39" t="s">
        <v>19</v>
      </c>
      <c r="B39">
        <v>1</v>
      </c>
      <c r="C39" t="s">
        <v>14</v>
      </c>
      <c r="D39">
        <v>0</v>
      </c>
      <c r="E39">
        <v>2</v>
      </c>
      <c r="F39">
        <v>2</v>
      </c>
      <c r="G39">
        <v>4</v>
      </c>
      <c r="H39">
        <v>8</v>
      </c>
      <c r="I39">
        <v>4414</v>
      </c>
      <c r="J39">
        <v>21038</v>
      </c>
      <c r="K39" s="8">
        <v>0.20981081851887062</v>
      </c>
    </row>
    <row r="40" spans="1:11" x14ac:dyDescent="0.35">
      <c r="A40" t="s">
        <v>20</v>
      </c>
      <c r="B40">
        <v>1</v>
      </c>
      <c r="C40" t="s">
        <v>14</v>
      </c>
      <c r="D40">
        <v>0</v>
      </c>
      <c r="E40">
        <v>2</v>
      </c>
      <c r="F40">
        <v>2</v>
      </c>
      <c r="G40">
        <v>4</v>
      </c>
      <c r="H40">
        <v>8</v>
      </c>
      <c r="I40">
        <v>6277</v>
      </c>
      <c r="J40">
        <v>14911</v>
      </c>
      <c r="K40" s="8">
        <v>0.42096438870632419</v>
      </c>
    </row>
    <row r="41" spans="1:11" x14ac:dyDescent="0.35">
      <c r="A41" t="s">
        <v>21</v>
      </c>
      <c r="B41">
        <v>1</v>
      </c>
      <c r="C41" t="s">
        <v>14</v>
      </c>
      <c r="D41">
        <v>0</v>
      </c>
      <c r="E41">
        <v>2</v>
      </c>
      <c r="F41">
        <v>2</v>
      </c>
      <c r="G41">
        <v>4</v>
      </c>
      <c r="H41">
        <v>8</v>
      </c>
      <c r="I41">
        <v>5379</v>
      </c>
      <c r="J41">
        <v>26632</v>
      </c>
      <c r="K41" s="8">
        <v>0.20197506758786421</v>
      </c>
    </row>
    <row r="42" spans="1:11" x14ac:dyDescent="0.35">
      <c r="A42" t="s">
        <v>13</v>
      </c>
      <c r="B42">
        <v>1</v>
      </c>
      <c r="C42" t="s">
        <v>14</v>
      </c>
      <c r="D42">
        <v>0</v>
      </c>
      <c r="E42">
        <v>2</v>
      </c>
      <c r="F42">
        <v>4</v>
      </c>
      <c r="G42">
        <v>8</v>
      </c>
      <c r="H42">
        <v>8</v>
      </c>
      <c r="I42">
        <v>5058</v>
      </c>
      <c r="J42">
        <v>31296</v>
      </c>
      <c r="K42" s="8">
        <v>0.1616180981595092</v>
      </c>
    </row>
    <row r="43" spans="1:11" x14ac:dyDescent="0.35">
      <c r="A43" t="s">
        <v>15</v>
      </c>
      <c r="B43">
        <v>1</v>
      </c>
      <c r="C43" t="s">
        <v>14</v>
      </c>
      <c r="D43">
        <v>0</v>
      </c>
      <c r="E43">
        <v>2</v>
      </c>
      <c r="F43">
        <v>4</v>
      </c>
      <c r="G43">
        <v>8</v>
      </c>
      <c r="H43">
        <v>8</v>
      </c>
      <c r="I43">
        <v>4417</v>
      </c>
      <c r="J43">
        <v>18993</v>
      </c>
      <c r="K43" s="8">
        <v>0.23255936397620175</v>
      </c>
    </row>
    <row r="44" spans="1:11" x14ac:dyDescent="0.35">
      <c r="A44" t="s">
        <v>16</v>
      </c>
      <c r="B44">
        <v>1</v>
      </c>
      <c r="C44" t="s">
        <v>14</v>
      </c>
      <c r="D44">
        <v>0</v>
      </c>
      <c r="E44">
        <v>2</v>
      </c>
      <c r="F44">
        <v>4</v>
      </c>
      <c r="G44">
        <v>8</v>
      </c>
      <c r="H44">
        <v>8</v>
      </c>
      <c r="I44">
        <v>3696</v>
      </c>
      <c r="J44">
        <v>19217</v>
      </c>
      <c r="K44" s="8">
        <v>0.19232970807097882</v>
      </c>
    </row>
    <row r="45" spans="1:11" x14ac:dyDescent="0.35">
      <c r="A45" t="s">
        <v>17</v>
      </c>
      <c r="B45">
        <v>1</v>
      </c>
      <c r="C45" t="s">
        <v>14</v>
      </c>
      <c r="D45">
        <v>0</v>
      </c>
      <c r="E45">
        <v>2</v>
      </c>
      <c r="F45">
        <v>4</v>
      </c>
      <c r="G45">
        <v>8</v>
      </c>
      <c r="H45">
        <v>8</v>
      </c>
      <c r="I45">
        <v>3455</v>
      </c>
      <c r="J45">
        <v>32334</v>
      </c>
      <c r="K45" s="8">
        <v>0.106853466938826</v>
      </c>
    </row>
    <row r="46" spans="1:11" x14ac:dyDescent="0.35">
      <c r="A46" t="s">
        <v>18</v>
      </c>
      <c r="B46">
        <v>1</v>
      </c>
      <c r="C46" t="s">
        <v>14</v>
      </c>
      <c r="D46">
        <v>0</v>
      </c>
      <c r="E46">
        <v>2</v>
      </c>
      <c r="F46">
        <v>4</v>
      </c>
      <c r="G46">
        <v>8</v>
      </c>
      <c r="H46">
        <v>8</v>
      </c>
      <c r="I46">
        <v>4673</v>
      </c>
      <c r="J46">
        <v>23847</v>
      </c>
      <c r="K46" s="8">
        <v>0.19595756279615884</v>
      </c>
    </row>
    <row r="47" spans="1:11" x14ac:dyDescent="0.35">
      <c r="A47" t="s">
        <v>19</v>
      </c>
      <c r="B47">
        <v>1</v>
      </c>
      <c r="C47" t="s">
        <v>14</v>
      </c>
      <c r="D47">
        <v>0</v>
      </c>
      <c r="E47">
        <v>2</v>
      </c>
      <c r="F47">
        <v>4</v>
      </c>
      <c r="G47">
        <v>8</v>
      </c>
      <c r="H47">
        <v>8</v>
      </c>
      <c r="I47">
        <v>4414</v>
      </c>
      <c r="J47">
        <v>15928</v>
      </c>
      <c r="K47" s="8">
        <v>0.27712204922149675</v>
      </c>
    </row>
    <row r="48" spans="1:11" x14ac:dyDescent="0.35">
      <c r="A48" t="s">
        <v>20</v>
      </c>
      <c r="B48">
        <v>1</v>
      </c>
      <c r="C48" t="s">
        <v>14</v>
      </c>
      <c r="D48">
        <v>0</v>
      </c>
      <c r="E48">
        <v>2</v>
      </c>
      <c r="F48">
        <v>4</v>
      </c>
      <c r="G48">
        <v>8</v>
      </c>
      <c r="H48">
        <v>8</v>
      </c>
      <c r="I48">
        <v>6277</v>
      </c>
      <c r="J48">
        <v>14936</v>
      </c>
      <c r="K48" s="8">
        <v>0.42025977504017142</v>
      </c>
    </row>
    <row r="49" spans="1:11" x14ac:dyDescent="0.35">
      <c r="A49" t="s">
        <v>21</v>
      </c>
      <c r="B49">
        <v>1</v>
      </c>
      <c r="C49" t="s">
        <v>14</v>
      </c>
      <c r="D49">
        <v>0</v>
      </c>
      <c r="E49">
        <v>2</v>
      </c>
      <c r="F49">
        <v>4</v>
      </c>
      <c r="G49">
        <v>8</v>
      </c>
      <c r="H49">
        <v>8</v>
      </c>
      <c r="I49">
        <v>5379</v>
      </c>
      <c r="J49">
        <v>26973</v>
      </c>
      <c r="K49" s="8">
        <v>0.19942164386608832</v>
      </c>
    </row>
    <row r="50" spans="1:11" x14ac:dyDescent="0.35">
      <c r="A50" t="s">
        <v>13</v>
      </c>
      <c r="B50">
        <v>1</v>
      </c>
      <c r="C50" t="s">
        <v>14</v>
      </c>
      <c r="D50">
        <v>8</v>
      </c>
      <c r="E50">
        <v>2</v>
      </c>
      <c r="F50">
        <v>4</v>
      </c>
      <c r="G50">
        <v>8</v>
      </c>
      <c r="H50">
        <v>8</v>
      </c>
      <c r="I50">
        <v>5058</v>
      </c>
      <c r="J50">
        <v>31296</v>
      </c>
      <c r="K50" s="8">
        <v>0.1616180981595092</v>
      </c>
    </row>
    <row r="51" spans="1:11" x14ac:dyDescent="0.35">
      <c r="A51" t="s">
        <v>15</v>
      </c>
      <c r="B51">
        <v>1</v>
      </c>
      <c r="C51" t="s">
        <v>14</v>
      </c>
      <c r="D51">
        <v>8</v>
      </c>
      <c r="E51">
        <v>2</v>
      </c>
      <c r="F51">
        <v>4</v>
      </c>
      <c r="G51">
        <v>8</v>
      </c>
      <c r="H51">
        <v>8</v>
      </c>
      <c r="I51">
        <v>4417</v>
      </c>
      <c r="J51">
        <v>18022</v>
      </c>
      <c r="K51" s="8">
        <v>0.24508933525690824</v>
      </c>
    </row>
    <row r="52" spans="1:11" x14ac:dyDescent="0.35">
      <c r="A52" t="s">
        <v>16</v>
      </c>
      <c r="B52">
        <v>1</v>
      </c>
      <c r="C52" t="s">
        <v>14</v>
      </c>
      <c r="D52">
        <v>8</v>
      </c>
      <c r="E52">
        <v>2</v>
      </c>
      <c r="F52">
        <v>4</v>
      </c>
      <c r="G52">
        <v>8</v>
      </c>
      <c r="H52">
        <v>8</v>
      </c>
      <c r="I52">
        <v>3696</v>
      </c>
      <c r="J52">
        <v>18937</v>
      </c>
      <c r="K52" s="8">
        <v>0.19517346992659873</v>
      </c>
    </row>
    <row r="53" spans="1:11" x14ac:dyDescent="0.35">
      <c r="A53" t="s">
        <v>17</v>
      </c>
      <c r="B53">
        <v>1</v>
      </c>
      <c r="C53" t="s">
        <v>14</v>
      </c>
      <c r="D53">
        <v>8</v>
      </c>
      <c r="E53">
        <v>2</v>
      </c>
      <c r="F53">
        <v>4</v>
      </c>
      <c r="G53">
        <v>8</v>
      </c>
      <c r="H53">
        <v>8</v>
      </c>
      <c r="I53">
        <v>3455</v>
      </c>
      <c r="J53">
        <v>32925</v>
      </c>
      <c r="K53" s="8">
        <v>0.10493545937737282</v>
      </c>
    </row>
    <row r="54" spans="1:11" x14ac:dyDescent="0.35">
      <c r="A54" t="s">
        <v>18</v>
      </c>
      <c r="B54">
        <v>1</v>
      </c>
      <c r="C54" t="s">
        <v>14</v>
      </c>
      <c r="D54">
        <v>8</v>
      </c>
      <c r="E54">
        <v>2</v>
      </c>
      <c r="F54">
        <v>4</v>
      </c>
      <c r="G54">
        <v>8</v>
      </c>
      <c r="H54">
        <v>8</v>
      </c>
      <c r="I54">
        <v>4673</v>
      </c>
      <c r="J54">
        <v>23847</v>
      </c>
      <c r="K54" s="8">
        <v>0.19595756279615884</v>
      </c>
    </row>
    <row r="55" spans="1:11" x14ac:dyDescent="0.35">
      <c r="A55" t="s">
        <v>19</v>
      </c>
      <c r="B55">
        <v>1</v>
      </c>
      <c r="C55" t="s">
        <v>14</v>
      </c>
      <c r="D55">
        <v>8</v>
      </c>
      <c r="E55">
        <v>2</v>
      </c>
      <c r="F55">
        <v>4</v>
      </c>
      <c r="G55">
        <v>8</v>
      </c>
      <c r="H55">
        <v>8</v>
      </c>
      <c r="I55">
        <v>4414</v>
      </c>
      <c r="J55">
        <v>16502</v>
      </c>
      <c r="K55" s="8">
        <v>0.26748272936613743</v>
      </c>
    </row>
    <row r="56" spans="1:11" x14ac:dyDescent="0.35">
      <c r="A56" t="s">
        <v>20</v>
      </c>
      <c r="B56">
        <v>1</v>
      </c>
      <c r="C56" t="s">
        <v>14</v>
      </c>
      <c r="D56">
        <v>8</v>
      </c>
      <c r="E56">
        <v>2</v>
      </c>
      <c r="F56">
        <v>4</v>
      </c>
      <c r="G56">
        <v>8</v>
      </c>
      <c r="H56">
        <v>8</v>
      </c>
      <c r="I56">
        <v>6277</v>
      </c>
      <c r="J56">
        <v>14936</v>
      </c>
      <c r="K56" s="8">
        <v>0.42025977504017142</v>
      </c>
    </row>
    <row r="57" spans="1:11" x14ac:dyDescent="0.35">
      <c r="A57" t="s">
        <v>21</v>
      </c>
      <c r="B57">
        <v>1</v>
      </c>
      <c r="C57" t="s">
        <v>14</v>
      </c>
      <c r="D57">
        <v>8</v>
      </c>
      <c r="E57">
        <v>2</v>
      </c>
      <c r="F57">
        <v>4</v>
      </c>
      <c r="G57">
        <v>8</v>
      </c>
      <c r="H57">
        <v>8</v>
      </c>
      <c r="I57">
        <v>5379</v>
      </c>
      <c r="J57">
        <v>26979</v>
      </c>
      <c r="K57" s="8">
        <v>0.19937729345046146</v>
      </c>
    </row>
    <row r="58" spans="1:11" x14ac:dyDescent="0.35">
      <c r="A58" t="s">
        <v>13</v>
      </c>
      <c r="B58">
        <v>1</v>
      </c>
      <c r="C58" t="s">
        <v>14</v>
      </c>
      <c r="D58">
        <v>0</v>
      </c>
      <c r="E58">
        <v>2</v>
      </c>
      <c r="F58">
        <v>4</v>
      </c>
      <c r="G58">
        <v>4</v>
      </c>
      <c r="H58">
        <v>4</v>
      </c>
      <c r="I58">
        <v>5058</v>
      </c>
      <c r="J58">
        <v>30667</v>
      </c>
      <c r="K58" s="8">
        <v>0.16493298985880589</v>
      </c>
    </row>
    <row r="59" spans="1:11" x14ac:dyDescent="0.35">
      <c r="A59" t="s">
        <v>15</v>
      </c>
      <c r="B59">
        <v>1</v>
      </c>
      <c r="C59" t="s">
        <v>14</v>
      </c>
      <c r="D59">
        <v>0</v>
      </c>
      <c r="E59">
        <v>2</v>
      </c>
      <c r="F59">
        <v>4</v>
      </c>
      <c r="G59">
        <v>4</v>
      </c>
      <c r="H59">
        <v>4</v>
      </c>
      <c r="I59">
        <v>4417</v>
      </c>
      <c r="J59">
        <v>19600</v>
      </c>
      <c r="K59" s="8">
        <v>0.22535714285714287</v>
      </c>
    </row>
    <row r="60" spans="1:11" x14ac:dyDescent="0.35">
      <c r="A60" t="s">
        <v>16</v>
      </c>
      <c r="B60">
        <v>1</v>
      </c>
      <c r="C60" t="s">
        <v>14</v>
      </c>
      <c r="D60">
        <v>0</v>
      </c>
      <c r="E60">
        <v>2</v>
      </c>
      <c r="F60">
        <v>4</v>
      </c>
      <c r="G60">
        <v>4</v>
      </c>
      <c r="H60">
        <v>4</v>
      </c>
      <c r="I60">
        <v>3696</v>
      </c>
      <c r="J60">
        <v>22878</v>
      </c>
      <c r="K60" s="8">
        <v>0.16155258326776817</v>
      </c>
    </row>
    <row r="61" spans="1:11" x14ac:dyDescent="0.35">
      <c r="A61" t="s">
        <v>17</v>
      </c>
      <c r="B61">
        <v>1</v>
      </c>
      <c r="C61" t="s">
        <v>14</v>
      </c>
      <c r="D61">
        <v>0</v>
      </c>
      <c r="E61">
        <v>2</v>
      </c>
      <c r="F61">
        <v>4</v>
      </c>
      <c r="G61">
        <v>4</v>
      </c>
      <c r="H61">
        <v>4</v>
      </c>
      <c r="I61">
        <v>3455</v>
      </c>
      <c r="J61">
        <v>39402</v>
      </c>
      <c r="K61" s="8">
        <v>8.7685904268818837E-2</v>
      </c>
    </row>
    <row r="62" spans="1:11" x14ac:dyDescent="0.35">
      <c r="A62" t="s">
        <v>18</v>
      </c>
      <c r="B62">
        <v>1</v>
      </c>
      <c r="C62" t="s">
        <v>14</v>
      </c>
      <c r="D62">
        <v>0</v>
      </c>
      <c r="E62">
        <v>2</v>
      </c>
      <c r="F62">
        <v>4</v>
      </c>
      <c r="G62">
        <v>4</v>
      </c>
      <c r="H62">
        <v>4</v>
      </c>
      <c r="I62">
        <v>4673</v>
      </c>
      <c r="J62">
        <v>23397</v>
      </c>
      <c r="K62" s="8">
        <v>0.19972646065734923</v>
      </c>
    </row>
    <row r="63" spans="1:11" x14ac:dyDescent="0.35">
      <c r="A63" t="s">
        <v>19</v>
      </c>
      <c r="B63">
        <v>1</v>
      </c>
      <c r="C63" t="s">
        <v>14</v>
      </c>
      <c r="D63">
        <v>0</v>
      </c>
      <c r="E63">
        <v>2</v>
      </c>
      <c r="F63">
        <v>4</v>
      </c>
      <c r="G63">
        <v>4</v>
      </c>
      <c r="H63">
        <v>4</v>
      </c>
      <c r="I63">
        <v>4414</v>
      </c>
      <c r="J63">
        <v>18827</v>
      </c>
      <c r="K63" s="8">
        <v>0.23445052318478782</v>
      </c>
    </row>
    <row r="64" spans="1:11" x14ac:dyDescent="0.35">
      <c r="A64" t="s">
        <v>20</v>
      </c>
      <c r="B64">
        <v>1</v>
      </c>
      <c r="C64" t="s">
        <v>14</v>
      </c>
      <c r="D64">
        <v>0</v>
      </c>
      <c r="E64">
        <v>2</v>
      </c>
      <c r="F64">
        <v>4</v>
      </c>
      <c r="G64">
        <v>4</v>
      </c>
      <c r="H64">
        <v>4</v>
      </c>
      <c r="I64">
        <v>6277</v>
      </c>
      <c r="J64">
        <v>14936</v>
      </c>
      <c r="K64" s="8">
        <v>0.42025977504017142</v>
      </c>
    </row>
    <row r="65" spans="1:13" x14ac:dyDescent="0.35">
      <c r="A65" t="s">
        <v>21</v>
      </c>
      <c r="B65">
        <v>1</v>
      </c>
      <c r="C65" t="s">
        <v>14</v>
      </c>
      <c r="D65">
        <v>0</v>
      </c>
      <c r="E65">
        <v>2</v>
      </c>
      <c r="F65">
        <v>4</v>
      </c>
      <c r="G65">
        <v>4</v>
      </c>
      <c r="H65">
        <v>4</v>
      </c>
      <c r="I65">
        <v>5379</v>
      </c>
      <c r="J65">
        <v>26610</v>
      </c>
      <c r="K65" s="8">
        <v>0.20214205186020293</v>
      </c>
    </row>
    <row r="66" spans="1:13" x14ac:dyDescent="0.35">
      <c r="A66" t="s">
        <v>13</v>
      </c>
      <c r="B66">
        <v>1</v>
      </c>
      <c r="C66" t="s">
        <v>14</v>
      </c>
      <c r="D66">
        <v>0</v>
      </c>
      <c r="E66">
        <v>2</v>
      </c>
      <c r="F66">
        <v>4</v>
      </c>
      <c r="G66">
        <v>4</v>
      </c>
      <c r="H66">
        <v>16</v>
      </c>
      <c r="I66">
        <v>5058</v>
      </c>
      <c r="J66">
        <v>30667</v>
      </c>
      <c r="K66" s="8">
        <v>0.16493298985880589</v>
      </c>
    </row>
    <row r="67" spans="1:13" x14ac:dyDescent="0.35">
      <c r="A67" t="s">
        <v>15</v>
      </c>
      <c r="B67">
        <v>1</v>
      </c>
      <c r="C67" t="s">
        <v>14</v>
      </c>
      <c r="D67">
        <v>0</v>
      </c>
      <c r="E67">
        <v>2</v>
      </c>
      <c r="F67">
        <v>4</v>
      </c>
      <c r="G67">
        <v>4</v>
      </c>
      <c r="H67">
        <v>16</v>
      </c>
      <c r="I67">
        <v>4417</v>
      </c>
      <c r="J67">
        <v>19600</v>
      </c>
      <c r="K67" s="8">
        <v>0.22535714285714287</v>
      </c>
    </row>
    <row r="68" spans="1:13" x14ac:dyDescent="0.35">
      <c r="A68" t="s">
        <v>16</v>
      </c>
      <c r="B68">
        <v>1</v>
      </c>
      <c r="C68" t="s">
        <v>14</v>
      </c>
      <c r="D68">
        <v>0</v>
      </c>
      <c r="E68">
        <v>2</v>
      </c>
      <c r="F68">
        <v>4</v>
      </c>
      <c r="G68">
        <v>4</v>
      </c>
      <c r="H68">
        <v>16</v>
      </c>
      <c r="I68">
        <v>3696</v>
      </c>
      <c r="J68">
        <v>22868</v>
      </c>
      <c r="K68" s="8">
        <v>0.16162322896624104</v>
      </c>
    </row>
    <row r="69" spans="1:13" x14ac:dyDescent="0.35">
      <c r="A69" t="s">
        <v>17</v>
      </c>
      <c r="B69">
        <v>1</v>
      </c>
      <c r="C69" t="s">
        <v>14</v>
      </c>
      <c r="D69">
        <v>0</v>
      </c>
      <c r="E69">
        <v>2</v>
      </c>
      <c r="F69">
        <v>4</v>
      </c>
      <c r="G69">
        <v>4</v>
      </c>
      <c r="H69">
        <v>16</v>
      </c>
      <c r="I69">
        <v>3455</v>
      </c>
      <c r="J69">
        <v>39412</v>
      </c>
      <c r="K69" s="8">
        <v>8.7663655739368726E-2</v>
      </c>
    </row>
    <row r="70" spans="1:13" x14ac:dyDescent="0.35">
      <c r="A70" t="s">
        <v>18</v>
      </c>
      <c r="B70">
        <v>1</v>
      </c>
      <c r="C70" t="s">
        <v>14</v>
      </c>
      <c r="D70">
        <v>0</v>
      </c>
      <c r="E70">
        <v>2</v>
      </c>
      <c r="F70">
        <v>4</v>
      </c>
      <c r="G70">
        <v>4</v>
      </c>
      <c r="H70">
        <v>16</v>
      </c>
      <c r="I70">
        <v>4673</v>
      </c>
      <c r="J70">
        <v>23397</v>
      </c>
      <c r="K70" s="8">
        <v>0.19972646065734923</v>
      </c>
    </row>
    <row r="71" spans="1:13" x14ac:dyDescent="0.35">
      <c r="A71" t="s">
        <v>19</v>
      </c>
      <c r="B71">
        <v>1</v>
      </c>
      <c r="C71" t="s">
        <v>14</v>
      </c>
      <c r="D71">
        <v>0</v>
      </c>
      <c r="E71">
        <v>2</v>
      </c>
      <c r="F71">
        <v>4</v>
      </c>
      <c r="G71">
        <v>4</v>
      </c>
      <c r="H71">
        <v>16</v>
      </c>
      <c r="I71">
        <v>4414</v>
      </c>
      <c r="J71">
        <v>21054</v>
      </c>
      <c r="K71" s="8">
        <v>0.20965137266077705</v>
      </c>
    </row>
    <row r="72" spans="1:13" x14ac:dyDescent="0.35">
      <c r="A72" t="s">
        <v>20</v>
      </c>
      <c r="B72">
        <v>1</v>
      </c>
      <c r="C72" t="s">
        <v>14</v>
      </c>
      <c r="D72">
        <v>0</v>
      </c>
      <c r="E72">
        <v>2</v>
      </c>
      <c r="F72">
        <v>4</v>
      </c>
      <c r="G72">
        <v>4</v>
      </c>
      <c r="H72">
        <v>16</v>
      </c>
      <c r="I72">
        <v>6277</v>
      </c>
      <c r="J72">
        <v>14936</v>
      </c>
      <c r="K72" s="8">
        <v>0.42025977504017142</v>
      </c>
    </row>
    <row r="73" spans="1:13" x14ac:dyDescent="0.35">
      <c r="A73" t="s">
        <v>21</v>
      </c>
      <c r="B73">
        <v>1</v>
      </c>
      <c r="C73" t="s">
        <v>14</v>
      </c>
      <c r="D73">
        <v>0</v>
      </c>
      <c r="E73">
        <v>2</v>
      </c>
      <c r="F73">
        <v>4</v>
      </c>
      <c r="G73">
        <v>4</v>
      </c>
      <c r="H73">
        <v>16</v>
      </c>
      <c r="I73">
        <v>5379</v>
      </c>
      <c r="J73">
        <v>26606</v>
      </c>
      <c r="K73" s="8">
        <v>0.2021724423062467</v>
      </c>
    </row>
    <row r="76" spans="1:13" x14ac:dyDescent="0.35">
      <c r="A76" s="1" t="s">
        <v>0</v>
      </c>
      <c r="B76" s="1" t="s">
        <v>91</v>
      </c>
      <c r="C76" s="1" t="s">
        <v>92</v>
      </c>
      <c r="D76" s="1" t="s">
        <v>39</v>
      </c>
      <c r="E76" s="1" t="s">
        <v>56</v>
      </c>
      <c r="F76" s="1" t="s">
        <v>5</v>
      </c>
      <c r="G76" s="1" t="s">
        <v>6</v>
      </c>
      <c r="H76" s="7" t="s">
        <v>7</v>
      </c>
      <c r="I76" s="11" t="s">
        <v>8</v>
      </c>
      <c r="J76" s="1" t="s">
        <v>9</v>
      </c>
      <c r="K76" s="11" t="s">
        <v>10</v>
      </c>
      <c r="L76" s="11" t="s">
        <v>11</v>
      </c>
      <c r="M76" s="1" t="s">
        <v>12</v>
      </c>
    </row>
    <row r="77" spans="1:13" x14ac:dyDescent="0.35">
      <c r="A77" t="s">
        <v>88</v>
      </c>
      <c r="H77" s="8"/>
      <c r="I77" s="12"/>
      <c r="J77" s="12"/>
      <c r="K77" s="12"/>
      <c r="M77" s="10"/>
    </row>
    <row r="78" spans="1:13" x14ac:dyDescent="0.35">
      <c r="A78" t="s">
        <v>89</v>
      </c>
      <c r="H78" s="8"/>
      <c r="I78" s="12"/>
      <c r="J78" s="12"/>
      <c r="K78" s="12"/>
      <c r="M78" s="10"/>
    </row>
    <row r="79" spans="1:13" x14ac:dyDescent="0.35">
      <c r="A79" t="s">
        <v>90</v>
      </c>
      <c r="H79" s="8"/>
      <c r="I79" s="12"/>
      <c r="J79" s="12"/>
      <c r="K79" s="12"/>
      <c r="M79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7"/>
  <sheetViews>
    <sheetView workbookViewId="0">
      <selection activeCell="N7" sqref="N7"/>
    </sheetView>
  </sheetViews>
  <sheetFormatPr defaultRowHeight="14.5" x14ac:dyDescent="0.35"/>
  <cols>
    <col min="1" max="1" width="6.1796875" bestFit="1" customWidth="1"/>
    <col min="2" max="2" width="8.81640625" bestFit="1" customWidth="1"/>
    <col min="3" max="3" width="8.90625" bestFit="1" customWidth="1"/>
    <col min="4" max="4" width="10.54296875" bestFit="1" customWidth="1"/>
    <col min="5" max="5" width="6.453125" bestFit="1" customWidth="1"/>
    <col min="6" max="6" width="10.90625" bestFit="1" customWidth="1"/>
    <col min="7" max="7" width="6.81640625" style="10" bestFit="1" customWidth="1"/>
    <col min="8" max="8" width="5.36328125" style="8" bestFit="1" customWidth="1"/>
    <col min="9" max="9" width="12.1796875" style="12" bestFit="1" customWidth="1"/>
    <col min="10" max="10" width="6.36328125" style="12" bestFit="1" customWidth="1"/>
    <col min="11" max="11" width="8.54296875" style="12" bestFit="1" customWidth="1"/>
    <col min="12" max="12" width="8.54296875" bestFit="1" customWidth="1"/>
    <col min="13" max="13" width="16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82</v>
      </c>
      <c r="E1" s="1" t="s">
        <v>39</v>
      </c>
      <c r="F1" s="1" t="s">
        <v>5</v>
      </c>
      <c r="G1" s="9" t="s">
        <v>6</v>
      </c>
      <c r="H1" s="7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" t="s">
        <v>12</v>
      </c>
    </row>
    <row r="2" spans="1:13" x14ac:dyDescent="0.35">
      <c r="A2" t="s">
        <v>13</v>
      </c>
      <c r="B2">
        <v>1</v>
      </c>
      <c r="C2" t="s">
        <v>14</v>
      </c>
      <c r="D2">
        <v>256</v>
      </c>
      <c r="E2">
        <v>4</v>
      </c>
      <c r="F2">
        <v>5058</v>
      </c>
      <c r="G2" s="10">
        <v>31093</v>
      </c>
      <c r="H2" s="8">
        <f t="array" ref="H2:H97">F2:F97 / G2:G97</f>
        <v>0.16267327051104749</v>
      </c>
      <c r="I2" s="12">
        <v>0.64221499999999998</v>
      </c>
      <c r="J2">
        <v>2447</v>
      </c>
      <c r="K2" s="12">
        <v>0</v>
      </c>
      <c r="L2" s="12">
        <v>0</v>
      </c>
      <c r="M2">
        <v>0.26</v>
      </c>
    </row>
    <row r="3" spans="1:13" x14ac:dyDescent="0.35">
      <c r="A3" t="s">
        <v>15</v>
      </c>
      <c r="B3">
        <v>1</v>
      </c>
      <c r="C3" t="s">
        <v>14</v>
      </c>
      <c r="D3">
        <v>256</v>
      </c>
      <c r="E3">
        <v>4</v>
      </c>
      <c r="F3">
        <v>4417</v>
      </c>
      <c r="G3" s="10">
        <v>30533</v>
      </c>
      <c r="H3" s="8">
        <v>0.14466315134444699</v>
      </c>
      <c r="I3" s="12">
        <v>0.69520800000000005</v>
      </c>
      <c r="J3">
        <v>78</v>
      </c>
      <c r="K3" s="12">
        <v>1</v>
      </c>
      <c r="L3" s="12">
        <v>1.6250000000000001E-2</v>
      </c>
      <c r="M3">
        <v>0.25</v>
      </c>
    </row>
    <row r="4" spans="1:13" x14ac:dyDescent="0.35">
      <c r="A4" t="s">
        <v>16</v>
      </c>
      <c r="B4">
        <v>1</v>
      </c>
      <c r="C4" t="s">
        <v>14</v>
      </c>
      <c r="D4">
        <v>256</v>
      </c>
      <c r="E4">
        <v>4</v>
      </c>
      <c r="F4">
        <v>3696</v>
      </c>
      <c r="G4" s="10">
        <v>29030</v>
      </c>
      <c r="H4" s="8">
        <v>0.12731656906648295</v>
      </c>
      <c r="I4" s="12">
        <v>0.59599800000000003</v>
      </c>
      <c r="J4">
        <v>55</v>
      </c>
      <c r="K4" s="12">
        <v>0.96363600000000005</v>
      </c>
      <c r="L4" s="12">
        <v>1.8415999999999998E-2</v>
      </c>
      <c r="M4">
        <v>0.23</v>
      </c>
    </row>
    <row r="5" spans="1:13" x14ac:dyDescent="0.35">
      <c r="A5" t="s">
        <v>17</v>
      </c>
      <c r="B5">
        <v>1</v>
      </c>
      <c r="C5" t="s">
        <v>14</v>
      </c>
      <c r="D5">
        <v>256</v>
      </c>
      <c r="E5">
        <v>4</v>
      </c>
      <c r="F5">
        <v>3455</v>
      </c>
      <c r="G5" s="10">
        <v>45367</v>
      </c>
      <c r="H5" s="8">
        <v>7.6156677761368391E-2</v>
      </c>
      <c r="I5" s="12">
        <v>0.64359699999999997</v>
      </c>
      <c r="J5">
        <v>41</v>
      </c>
      <c r="K5" s="12">
        <v>1</v>
      </c>
      <c r="L5" s="12">
        <v>1.0677000000000001E-2</v>
      </c>
      <c r="M5">
        <v>0.32</v>
      </c>
    </row>
    <row r="6" spans="1:13" x14ac:dyDescent="0.35">
      <c r="A6" t="s">
        <v>18</v>
      </c>
      <c r="B6">
        <v>1</v>
      </c>
      <c r="C6" t="s">
        <v>14</v>
      </c>
      <c r="D6">
        <v>256</v>
      </c>
      <c r="E6">
        <v>4</v>
      </c>
      <c r="F6">
        <v>4673</v>
      </c>
      <c r="G6" s="10">
        <v>28628</v>
      </c>
      <c r="H6" s="8">
        <v>0.16323180103395277</v>
      </c>
      <c r="I6" s="12">
        <v>0.68984400000000001</v>
      </c>
      <c r="J6">
        <v>4</v>
      </c>
      <c r="K6" s="12">
        <v>1</v>
      </c>
      <c r="L6" s="12">
        <v>8.3299999999999997E-4</v>
      </c>
      <c r="M6">
        <v>0.25</v>
      </c>
    </row>
    <row r="7" spans="1:13" x14ac:dyDescent="0.35">
      <c r="A7" t="s">
        <v>19</v>
      </c>
      <c r="B7">
        <v>1</v>
      </c>
      <c r="C7" t="s">
        <v>14</v>
      </c>
      <c r="D7">
        <v>256</v>
      </c>
      <c r="E7">
        <v>4</v>
      </c>
      <c r="F7">
        <v>4414</v>
      </c>
      <c r="G7" s="10">
        <v>24930</v>
      </c>
      <c r="H7" s="8">
        <v>0.17705575611712795</v>
      </c>
      <c r="I7" s="12">
        <v>0.62152799999999997</v>
      </c>
      <c r="J7">
        <v>177</v>
      </c>
      <c r="K7" s="12">
        <v>0.98305100000000001</v>
      </c>
      <c r="L7" s="12">
        <v>6.0479999999999999E-2</v>
      </c>
      <c r="M7">
        <v>0.22</v>
      </c>
    </row>
    <row r="8" spans="1:13" x14ac:dyDescent="0.35">
      <c r="A8" t="s">
        <v>20</v>
      </c>
      <c r="B8">
        <v>1</v>
      </c>
      <c r="C8" t="s">
        <v>14</v>
      </c>
      <c r="D8">
        <v>256</v>
      </c>
      <c r="E8">
        <v>4</v>
      </c>
      <c r="F8">
        <v>6277</v>
      </c>
      <c r="G8" s="10">
        <v>14895</v>
      </c>
      <c r="H8" s="8">
        <v>0.42141658274588789</v>
      </c>
      <c r="I8" s="12">
        <v>3.333E-3</v>
      </c>
      <c r="J8">
        <v>37</v>
      </c>
      <c r="K8" s="12">
        <v>0.162162</v>
      </c>
      <c r="L8" s="12">
        <v>0.26086999999999999</v>
      </c>
      <c r="M8">
        <v>0.15</v>
      </c>
    </row>
    <row r="9" spans="1:13" x14ac:dyDescent="0.35">
      <c r="A9" t="s">
        <v>21</v>
      </c>
      <c r="B9">
        <v>1</v>
      </c>
      <c r="C9" t="s">
        <v>14</v>
      </c>
      <c r="D9">
        <v>256</v>
      </c>
      <c r="E9">
        <v>4</v>
      </c>
      <c r="F9">
        <v>5379</v>
      </c>
      <c r="G9" s="10">
        <v>24521</v>
      </c>
      <c r="H9" s="8">
        <v>0.21936299498389136</v>
      </c>
      <c r="I9" s="12">
        <v>0.491338</v>
      </c>
      <c r="J9">
        <v>181</v>
      </c>
      <c r="K9" s="12">
        <v>0.98342499999999999</v>
      </c>
      <c r="L9" s="12">
        <v>5.2976000000000002E-2</v>
      </c>
      <c r="M9">
        <v>0.24</v>
      </c>
    </row>
    <row r="10" spans="1:13" x14ac:dyDescent="0.35">
      <c r="A10" t="s">
        <v>13</v>
      </c>
      <c r="B10">
        <v>1</v>
      </c>
      <c r="C10" t="s">
        <v>14</v>
      </c>
      <c r="D10">
        <v>512</v>
      </c>
      <c r="E10">
        <v>4</v>
      </c>
      <c r="F10">
        <v>5058</v>
      </c>
      <c r="G10" s="10">
        <v>31093</v>
      </c>
      <c r="H10" s="8">
        <v>0.16267327051104749</v>
      </c>
      <c r="I10" s="12">
        <v>0.64221499999999998</v>
      </c>
      <c r="J10">
        <v>2447</v>
      </c>
      <c r="K10" s="12">
        <v>0</v>
      </c>
      <c r="L10" s="12">
        <v>0</v>
      </c>
      <c r="M10">
        <v>0.26</v>
      </c>
    </row>
    <row r="11" spans="1:13" x14ac:dyDescent="0.35">
      <c r="A11" t="s">
        <v>15</v>
      </c>
      <c r="B11">
        <v>1</v>
      </c>
      <c r="C11" t="s">
        <v>14</v>
      </c>
      <c r="D11">
        <v>512</v>
      </c>
      <c r="E11">
        <v>4</v>
      </c>
      <c r="F11">
        <v>4417</v>
      </c>
      <c r="G11" s="10">
        <v>30533</v>
      </c>
      <c r="H11" s="8">
        <v>0.14466315134444699</v>
      </c>
      <c r="I11" s="12">
        <v>0.69520800000000005</v>
      </c>
      <c r="J11">
        <v>78</v>
      </c>
      <c r="K11" s="12">
        <v>1</v>
      </c>
      <c r="L11" s="12">
        <v>1.6250000000000001E-2</v>
      </c>
      <c r="M11">
        <v>0.24</v>
      </c>
    </row>
    <row r="12" spans="1:13" x14ac:dyDescent="0.35">
      <c r="A12" t="s">
        <v>16</v>
      </c>
      <c r="B12">
        <v>1</v>
      </c>
      <c r="C12" t="s">
        <v>14</v>
      </c>
      <c r="D12">
        <v>512</v>
      </c>
      <c r="E12">
        <v>4</v>
      </c>
      <c r="F12">
        <v>3696</v>
      </c>
      <c r="G12" s="10">
        <v>29030</v>
      </c>
      <c r="H12" s="8">
        <v>0.12731656906648295</v>
      </c>
      <c r="I12" s="12">
        <v>0.59599800000000003</v>
      </c>
      <c r="J12">
        <v>55</v>
      </c>
      <c r="K12" s="12">
        <v>0.96363600000000005</v>
      </c>
      <c r="L12" s="12">
        <v>1.8415999999999998E-2</v>
      </c>
      <c r="M12">
        <v>0.22</v>
      </c>
    </row>
    <row r="13" spans="1:13" x14ac:dyDescent="0.35">
      <c r="A13" t="s">
        <v>17</v>
      </c>
      <c r="B13">
        <v>1</v>
      </c>
      <c r="C13" t="s">
        <v>14</v>
      </c>
      <c r="D13">
        <v>512</v>
      </c>
      <c r="E13">
        <v>4</v>
      </c>
      <c r="F13">
        <v>3455</v>
      </c>
      <c r="G13" s="10">
        <v>45367</v>
      </c>
      <c r="H13" s="8">
        <v>7.6156677761368391E-2</v>
      </c>
      <c r="I13" s="12">
        <v>0.64359699999999997</v>
      </c>
      <c r="J13">
        <v>41</v>
      </c>
      <c r="K13" s="12">
        <v>1</v>
      </c>
      <c r="L13" s="12">
        <v>1.0677000000000001E-2</v>
      </c>
      <c r="M13">
        <v>0.32</v>
      </c>
    </row>
    <row r="14" spans="1:13" x14ac:dyDescent="0.35">
      <c r="A14" t="s">
        <v>18</v>
      </c>
      <c r="B14">
        <v>1</v>
      </c>
      <c r="C14" t="s">
        <v>14</v>
      </c>
      <c r="D14">
        <v>512</v>
      </c>
      <c r="E14">
        <v>4</v>
      </c>
      <c r="F14">
        <v>4673</v>
      </c>
      <c r="G14" s="10">
        <v>28628</v>
      </c>
      <c r="H14" s="8">
        <v>0.16323180103395277</v>
      </c>
      <c r="I14" s="12">
        <v>0.68984400000000001</v>
      </c>
      <c r="J14">
        <v>4</v>
      </c>
      <c r="K14" s="12">
        <v>1</v>
      </c>
      <c r="L14" s="12">
        <v>8.3299999999999997E-4</v>
      </c>
      <c r="M14">
        <v>0.25</v>
      </c>
    </row>
    <row r="15" spans="1:13" x14ac:dyDescent="0.35">
      <c r="A15" t="s">
        <v>19</v>
      </c>
      <c r="B15">
        <v>1</v>
      </c>
      <c r="C15" t="s">
        <v>14</v>
      </c>
      <c r="D15">
        <v>512</v>
      </c>
      <c r="E15">
        <v>4</v>
      </c>
      <c r="F15">
        <v>4414</v>
      </c>
      <c r="G15" s="10">
        <v>24930</v>
      </c>
      <c r="H15" s="8">
        <v>0.17705575611712795</v>
      </c>
      <c r="I15" s="12">
        <v>0.62152799999999997</v>
      </c>
      <c r="J15">
        <v>177</v>
      </c>
      <c r="K15" s="12">
        <v>0.98305100000000001</v>
      </c>
      <c r="L15" s="12">
        <v>6.0479999999999999E-2</v>
      </c>
      <c r="M15">
        <v>0.21</v>
      </c>
    </row>
    <row r="16" spans="1:13" x14ac:dyDescent="0.35">
      <c r="A16" t="s">
        <v>20</v>
      </c>
      <c r="B16">
        <v>1</v>
      </c>
      <c r="C16" t="s">
        <v>14</v>
      </c>
      <c r="D16">
        <v>512</v>
      </c>
      <c r="E16">
        <v>4</v>
      </c>
      <c r="F16">
        <v>6277</v>
      </c>
      <c r="G16" s="10">
        <v>14895</v>
      </c>
      <c r="H16" s="8">
        <v>0.42141658274588789</v>
      </c>
      <c r="I16" s="12">
        <v>3.333E-3</v>
      </c>
      <c r="J16">
        <v>35</v>
      </c>
      <c r="K16" s="12">
        <v>0.171429</v>
      </c>
      <c r="L16" s="12">
        <v>0.26086999999999999</v>
      </c>
      <c r="M16">
        <v>0.16</v>
      </c>
    </row>
    <row r="17" spans="1:13" x14ac:dyDescent="0.35">
      <c r="A17" t="s">
        <v>21</v>
      </c>
      <c r="B17">
        <v>1</v>
      </c>
      <c r="C17" t="s">
        <v>14</v>
      </c>
      <c r="D17">
        <v>512</v>
      </c>
      <c r="E17">
        <v>4</v>
      </c>
      <c r="F17">
        <v>5379</v>
      </c>
      <c r="G17" s="10">
        <v>24521</v>
      </c>
      <c r="H17" s="8">
        <v>0.21936299498389136</v>
      </c>
      <c r="I17" s="12">
        <v>0.491338</v>
      </c>
      <c r="J17">
        <v>181</v>
      </c>
      <c r="K17" s="12">
        <v>0.98342499999999999</v>
      </c>
      <c r="L17" s="12">
        <v>5.2976000000000002E-2</v>
      </c>
      <c r="M17">
        <v>0.24</v>
      </c>
    </row>
    <row r="18" spans="1:13" x14ac:dyDescent="0.35">
      <c r="A18" t="s">
        <v>13</v>
      </c>
      <c r="B18">
        <v>1</v>
      </c>
      <c r="C18" t="s">
        <v>14</v>
      </c>
      <c r="D18">
        <v>256</v>
      </c>
      <c r="E18">
        <v>16</v>
      </c>
      <c r="F18">
        <v>5058</v>
      </c>
      <c r="G18" s="10">
        <v>31093</v>
      </c>
      <c r="H18" s="8">
        <v>0.16267327051104749</v>
      </c>
      <c r="I18" s="12">
        <v>0.64221499999999998</v>
      </c>
      <c r="J18">
        <v>3245</v>
      </c>
      <c r="K18" s="12">
        <v>0</v>
      </c>
      <c r="L18" s="12">
        <v>0</v>
      </c>
      <c r="M18">
        <v>0.24</v>
      </c>
    </row>
    <row r="19" spans="1:13" x14ac:dyDescent="0.35">
      <c r="A19" t="s">
        <v>15</v>
      </c>
      <c r="B19">
        <v>1</v>
      </c>
      <c r="C19" t="s">
        <v>14</v>
      </c>
      <c r="D19">
        <v>256</v>
      </c>
      <c r="E19">
        <v>16</v>
      </c>
      <c r="F19">
        <v>4417</v>
      </c>
      <c r="G19" s="10">
        <v>30578</v>
      </c>
      <c r="H19" s="8">
        <v>0.14445025835568057</v>
      </c>
      <c r="I19" s="12">
        <v>0.69531200000000004</v>
      </c>
      <c r="J19">
        <v>140</v>
      </c>
      <c r="K19" s="12">
        <v>0.55714300000000005</v>
      </c>
      <c r="L19" s="12">
        <v>1.6250000000000001E-2</v>
      </c>
      <c r="M19">
        <v>0.24</v>
      </c>
    </row>
    <row r="20" spans="1:13" x14ac:dyDescent="0.35">
      <c r="A20" t="s">
        <v>16</v>
      </c>
      <c r="B20">
        <v>1</v>
      </c>
      <c r="C20" t="s">
        <v>14</v>
      </c>
      <c r="D20">
        <v>256</v>
      </c>
      <c r="E20">
        <v>16</v>
      </c>
      <c r="F20">
        <v>3696</v>
      </c>
      <c r="G20" s="10">
        <v>29030</v>
      </c>
      <c r="H20" s="8">
        <v>0.12731656906648295</v>
      </c>
      <c r="I20" s="12">
        <v>0.59599800000000003</v>
      </c>
      <c r="J20">
        <v>55</v>
      </c>
      <c r="K20" s="12">
        <v>0.96363600000000005</v>
      </c>
      <c r="L20" s="12">
        <v>1.8415999999999998E-2</v>
      </c>
      <c r="M20">
        <v>0.24</v>
      </c>
    </row>
    <row r="21" spans="1:13" x14ac:dyDescent="0.35">
      <c r="A21" t="s">
        <v>17</v>
      </c>
      <c r="B21">
        <v>1</v>
      </c>
      <c r="C21" t="s">
        <v>14</v>
      </c>
      <c r="D21">
        <v>256</v>
      </c>
      <c r="E21">
        <v>16</v>
      </c>
      <c r="F21">
        <v>3455</v>
      </c>
      <c r="G21" s="10">
        <v>45371</v>
      </c>
      <c r="H21" s="8">
        <v>7.614996363315775E-2</v>
      </c>
      <c r="I21" s="12">
        <v>0.64368899999999996</v>
      </c>
      <c r="J21">
        <v>78</v>
      </c>
      <c r="K21" s="12">
        <v>0.57692299999999996</v>
      </c>
      <c r="L21" s="12">
        <v>1.1719E-2</v>
      </c>
      <c r="M21">
        <v>0.33</v>
      </c>
    </row>
    <row r="22" spans="1:13" x14ac:dyDescent="0.35">
      <c r="A22" t="s">
        <v>18</v>
      </c>
      <c r="B22">
        <v>1</v>
      </c>
      <c r="C22" t="s">
        <v>14</v>
      </c>
      <c r="D22">
        <v>256</v>
      </c>
      <c r="E22">
        <v>16</v>
      </c>
      <c r="F22">
        <v>4673</v>
      </c>
      <c r="G22" s="10">
        <v>28661</v>
      </c>
      <c r="H22" s="8">
        <v>0.16304385750671643</v>
      </c>
      <c r="I22" s="12">
        <v>0.68880200000000003</v>
      </c>
      <c r="J22">
        <v>13</v>
      </c>
      <c r="K22" s="12">
        <v>1</v>
      </c>
      <c r="L22" s="12">
        <v>2.7079999999999999E-3</v>
      </c>
      <c r="M22">
        <v>0.25</v>
      </c>
    </row>
    <row r="23" spans="1:13" x14ac:dyDescent="0.35">
      <c r="A23" t="s">
        <v>19</v>
      </c>
      <c r="B23">
        <v>1</v>
      </c>
      <c r="C23" t="s">
        <v>14</v>
      </c>
      <c r="D23">
        <v>256</v>
      </c>
      <c r="E23">
        <v>16</v>
      </c>
      <c r="F23">
        <v>4414</v>
      </c>
      <c r="G23" s="10">
        <v>25124</v>
      </c>
      <c r="H23" s="8">
        <v>0.17568858462028339</v>
      </c>
      <c r="I23" s="12">
        <v>0.63946800000000004</v>
      </c>
      <c r="J23">
        <v>222</v>
      </c>
      <c r="K23" s="12">
        <v>0.56756799999999996</v>
      </c>
      <c r="L23" s="12">
        <v>4.3779999999999999E-2</v>
      </c>
      <c r="M23">
        <v>0.23</v>
      </c>
    </row>
    <row r="24" spans="1:13" x14ac:dyDescent="0.35">
      <c r="A24" t="s">
        <v>20</v>
      </c>
      <c r="B24">
        <v>1</v>
      </c>
      <c r="C24" t="s">
        <v>14</v>
      </c>
      <c r="D24">
        <v>256</v>
      </c>
      <c r="E24">
        <v>16</v>
      </c>
      <c r="F24">
        <v>6277</v>
      </c>
      <c r="G24" s="10">
        <v>14867</v>
      </c>
      <c r="H24" s="8">
        <v>0.42221026434384878</v>
      </c>
      <c r="I24" s="12">
        <v>3.1939999999999998E-3</v>
      </c>
      <c r="J24">
        <v>35</v>
      </c>
      <c r="K24" s="12">
        <v>0.228571</v>
      </c>
      <c r="L24" s="12">
        <v>0.34782600000000002</v>
      </c>
      <c r="M24">
        <v>0.16</v>
      </c>
    </row>
    <row r="25" spans="1:13" x14ac:dyDescent="0.35">
      <c r="A25" t="s">
        <v>21</v>
      </c>
      <c r="B25">
        <v>1</v>
      </c>
      <c r="C25" t="s">
        <v>14</v>
      </c>
      <c r="D25">
        <v>256</v>
      </c>
      <c r="E25">
        <v>16</v>
      </c>
      <c r="F25">
        <v>5379</v>
      </c>
      <c r="G25" s="10">
        <v>24455</v>
      </c>
      <c r="H25" s="8">
        <v>0.21995501942343079</v>
      </c>
      <c r="I25" s="12">
        <v>0.49002200000000001</v>
      </c>
      <c r="J25">
        <v>292</v>
      </c>
      <c r="K25" s="12">
        <v>0.55479500000000004</v>
      </c>
      <c r="L25" s="12">
        <v>4.8229000000000001E-2</v>
      </c>
      <c r="M25">
        <v>0.22</v>
      </c>
    </row>
    <row r="26" spans="1:13" x14ac:dyDescent="0.35">
      <c r="A26" t="s">
        <v>13</v>
      </c>
      <c r="B26">
        <v>1</v>
      </c>
      <c r="C26" t="s">
        <v>14</v>
      </c>
      <c r="D26">
        <v>256</v>
      </c>
      <c r="E26">
        <v>32</v>
      </c>
      <c r="F26">
        <v>5058</v>
      </c>
      <c r="G26" s="10">
        <v>31093</v>
      </c>
      <c r="H26" s="8">
        <v>0.16267327051104749</v>
      </c>
      <c r="I26" s="12">
        <v>0.64221499999999998</v>
      </c>
      <c r="J26">
        <v>3245</v>
      </c>
      <c r="K26" s="12">
        <v>0</v>
      </c>
      <c r="L26" s="12">
        <v>0</v>
      </c>
      <c r="M26">
        <v>0.24</v>
      </c>
    </row>
    <row r="27" spans="1:13" x14ac:dyDescent="0.35">
      <c r="A27" t="s">
        <v>15</v>
      </c>
      <c r="B27">
        <v>1</v>
      </c>
      <c r="C27" t="s">
        <v>14</v>
      </c>
      <c r="D27">
        <v>256</v>
      </c>
      <c r="E27">
        <v>32</v>
      </c>
      <c r="F27">
        <v>4417</v>
      </c>
      <c r="G27" s="10">
        <v>30578</v>
      </c>
      <c r="H27" s="8">
        <v>0.14445025835568057</v>
      </c>
      <c r="I27" s="12">
        <v>0.69531200000000004</v>
      </c>
      <c r="J27">
        <v>140</v>
      </c>
      <c r="K27" s="12">
        <v>0.55714300000000005</v>
      </c>
      <c r="L27" s="12">
        <v>1.6250000000000001E-2</v>
      </c>
      <c r="M27">
        <v>0.26</v>
      </c>
    </row>
    <row r="28" spans="1:13" x14ac:dyDescent="0.35">
      <c r="A28" t="s">
        <v>16</v>
      </c>
      <c r="B28">
        <v>1</v>
      </c>
      <c r="C28" t="s">
        <v>14</v>
      </c>
      <c r="D28">
        <v>256</v>
      </c>
      <c r="E28">
        <v>32</v>
      </c>
      <c r="F28">
        <v>3696</v>
      </c>
      <c r="G28" s="10">
        <v>29030</v>
      </c>
      <c r="H28" s="8">
        <v>0.12731656906648295</v>
      </c>
      <c r="I28" s="12">
        <v>0.59599800000000003</v>
      </c>
      <c r="J28">
        <v>55</v>
      </c>
      <c r="K28" s="12">
        <v>0.96363600000000005</v>
      </c>
      <c r="L28" s="12">
        <v>1.8415999999999998E-2</v>
      </c>
      <c r="M28">
        <v>0.23</v>
      </c>
    </row>
    <row r="29" spans="1:13" x14ac:dyDescent="0.35">
      <c r="A29" t="s">
        <v>17</v>
      </c>
      <c r="B29">
        <v>1</v>
      </c>
      <c r="C29" t="s">
        <v>14</v>
      </c>
      <c r="D29">
        <v>256</v>
      </c>
      <c r="E29">
        <v>32</v>
      </c>
      <c r="F29">
        <v>3455</v>
      </c>
      <c r="G29" s="10">
        <v>45371</v>
      </c>
      <c r="H29" s="8">
        <v>7.614996363315775E-2</v>
      </c>
      <c r="I29" s="12">
        <v>0.64368899999999996</v>
      </c>
      <c r="J29">
        <v>78</v>
      </c>
      <c r="K29" s="12">
        <v>0.57692299999999996</v>
      </c>
      <c r="L29" s="12">
        <v>1.1719E-2</v>
      </c>
      <c r="M29">
        <v>0.33</v>
      </c>
    </row>
    <row r="30" spans="1:13" x14ac:dyDescent="0.35">
      <c r="A30" t="s">
        <v>18</v>
      </c>
      <c r="B30">
        <v>1</v>
      </c>
      <c r="C30" t="s">
        <v>14</v>
      </c>
      <c r="D30">
        <v>256</v>
      </c>
      <c r="E30">
        <v>32</v>
      </c>
      <c r="F30">
        <v>4673</v>
      </c>
      <c r="G30" s="10">
        <v>28661</v>
      </c>
      <c r="H30" s="8">
        <v>0.16304385750671643</v>
      </c>
      <c r="I30" s="12">
        <v>0.68880200000000003</v>
      </c>
      <c r="J30">
        <v>13</v>
      </c>
      <c r="K30" s="12">
        <v>1</v>
      </c>
      <c r="L30" s="12">
        <v>2.7079999999999999E-3</v>
      </c>
      <c r="M30">
        <v>0.26</v>
      </c>
    </row>
    <row r="31" spans="1:13" x14ac:dyDescent="0.35">
      <c r="A31" t="s">
        <v>19</v>
      </c>
      <c r="B31">
        <v>1</v>
      </c>
      <c r="C31" t="s">
        <v>14</v>
      </c>
      <c r="D31">
        <v>256</v>
      </c>
      <c r="E31">
        <v>32</v>
      </c>
      <c r="F31">
        <v>4414</v>
      </c>
      <c r="G31" s="10">
        <v>25124</v>
      </c>
      <c r="H31" s="8">
        <v>0.17568858462028339</v>
      </c>
      <c r="I31" s="12">
        <v>0.63946800000000004</v>
      </c>
      <c r="J31">
        <v>222</v>
      </c>
      <c r="K31" s="12">
        <v>0.56756799999999996</v>
      </c>
      <c r="L31" s="12">
        <v>4.3779999999999999E-2</v>
      </c>
      <c r="M31">
        <v>0.23</v>
      </c>
    </row>
    <row r="32" spans="1:13" x14ac:dyDescent="0.35">
      <c r="A32" t="s">
        <v>20</v>
      </c>
      <c r="B32">
        <v>1</v>
      </c>
      <c r="C32" t="s">
        <v>14</v>
      </c>
      <c r="D32">
        <v>256</v>
      </c>
      <c r="E32">
        <v>32</v>
      </c>
      <c r="F32">
        <v>6277</v>
      </c>
      <c r="G32" s="10">
        <v>14867</v>
      </c>
      <c r="H32" s="8">
        <v>0.42221026434384878</v>
      </c>
      <c r="I32" s="12">
        <v>3.1939999999999998E-3</v>
      </c>
      <c r="J32">
        <v>35</v>
      </c>
      <c r="K32" s="12">
        <v>0.228571</v>
      </c>
      <c r="L32" s="12">
        <v>0.34782600000000002</v>
      </c>
      <c r="M32">
        <v>0.16</v>
      </c>
    </row>
    <row r="33" spans="1:13" x14ac:dyDescent="0.35">
      <c r="A33" t="s">
        <v>21</v>
      </c>
      <c r="B33">
        <v>1</v>
      </c>
      <c r="C33" t="s">
        <v>14</v>
      </c>
      <c r="D33">
        <v>256</v>
      </c>
      <c r="E33">
        <v>32</v>
      </c>
      <c r="F33">
        <v>5379</v>
      </c>
      <c r="G33" s="10">
        <v>24455</v>
      </c>
      <c r="H33" s="8">
        <v>0.21995501942343079</v>
      </c>
      <c r="I33" s="12">
        <v>0.49002200000000001</v>
      </c>
      <c r="J33">
        <v>292</v>
      </c>
      <c r="K33" s="12">
        <v>0.55479500000000004</v>
      </c>
      <c r="L33" s="12">
        <v>4.8229000000000001E-2</v>
      </c>
      <c r="M33">
        <v>0.23</v>
      </c>
    </row>
    <row r="34" spans="1:13" x14ac:dyDescent="0.35">
      <c r="A34" t="s">
        <v>13</v>
      </c>
      <c r="B34">
        <v>5</v>
      </c>
      <c r="C34" t="s">
        <v>14</v>
      </c>
      <c r="D34">
        <v>256</v>
      </c>
      <c r="E34">
        <v>4</v>
      </c>
      <c r="F34">
        <v>24798</v>
      </c>
      <c r="G34" s="10">
        <v>113998</v>
      </c>
      <c r="H34" s="8">
        <v>0.21753013210758085</v>
      </c>
      <c r="I34" s="12">
        <v>0.62556400000000001</v>
      </c>
      <c r="J34">
        <v>2364</v>
      </c>
      <c r="K34" s="12">
        <v>0</v>
      </c>
      <c r="L34" s="12">
        <v>0</v>
      </c>
      <c r="M34">
        <v>0.83</v>
      </c>
    </row>
    <row r="35" spans="1:13" x14ac:dyDescent="0.35">
      <c r="A35" t="s">
        <v>15</v>
      </c>
      <c r="B35">
        <v>5</v>
      </c>
      <c r="C35" t="s">
        <v>14</v>
      </c>
      <c r="D35">
        <v>256</v>
      </c>
      <c r="E35">
        <v>4</v>
      </c>
      <c r="F35">
        <v>21825</v>
      </c>
      <c r="G35" s="10">
        <v>152856</v>
      </c>
      <c r="H35" s="8">
        <v>0.14278144135657089</v>
      </c>
      <c r="I35" s="12">
        <v>0.698187</v>
      </c>
      <c r="J35">
        <v>74</v>
      </c>
      <c r="K35" s="12">
        <v>1</v>
      </c>
      <c r="L35" s="12">
        <v>3.0829999999999998E-3</v>
      </c>
      <c r="M35">
        <v>0.26</v>
      </c>
    </row>
    <row r="36" spans="1:13" x14ac:dyDescent="0.35">
      <c r="A36" t="s">
        <v>16</v>
      </c>
      <c r="B36">
        <v>5</v>
      </c>
      <c r="C36" t="s">
        <v>14</v>
      </c>
      <c r="D36">
        <v>256</v>
      </c>
      <c r="E36">
        <v>4</v>
      </c>
      <c r="F36">
        <v>18222</v>
      </c>
      <c r="G36" s="10">
        <v>145289</v>
      </c>
      <c r="H36" s="8">
        <v>0.12541899249082863</v>
      </c>
      <c r="I36" s="12">
        <v>0.617784</v>
      </c>
      <c r="J36">
        <v>55</v>
      </c>
      <c r="K36" s="12">
        <v>0.96363600000000005</v>
      </c>
      <c r="L36" s="12">
        <v>3.6749999999999999E-3</v>
      </c>
      <c r="M36">
        <v>0.89</v>
      </c>
    </row>
    <row r="37" spans="1:13" x14ac:dyDescent="0.35">
      <c r="A37" t="s">
        <v>17</v>
      </c>
      <c r="B37">
        <v>5</v>
      </c>
      <c r="C37" t="s">
        <v>14</v>
      </c>
      <c r="D37">
        <v>256</v>
      </c>
      <c r="E37">
        <v>4</v>
      </c>
      <c r="F37">
        <v>17007</v>
      </c>
      <c r="G37" s="10">
        <v>226223</v>
      </c>
      <c r="H37" s="8">
        <v>7.5178032295566757E-2</v>
      </c>
      <c r="I37" s="12">
        <v>0.64458899999999997</v>
      </c>
      <c r="J37">
        <v>41</v>
      </c>
      <c r="K37" s="12">
        <v>1</v>
      </c>
      <c r="L37" s="12">
        <v>2.1350000000000002E-3</v>
      </c>
      <c r="M37">
        <v>1.38</v>
      </c>
    </row>
    <row r="38" spans="1:13" x14ac:dyDescent="0.35">
      <c r="A38" t="s">
        <v>18</v>
      </c>
      <c r="B38">
        <v>5</v>
      </c>
      <c r="C38" t="s">
        <v>14</v>
      </c>
      <c r="D38">
        <v>256</v>
      </c>
      <c r="E38">
        <v>4</v>
      </c>
      <c r="F38">
        <v>23056</v>
      </c>
      <c r="G38" s="10">
        <v>142217</v>
      </c>
      <c r="H38" s="8">
        <v>0.16211845278693826</v>
      </c>
      <c r="I38" s="12">
        <v>0.69</v>
      </c>
      <c r="J38">
        <v>4</v>
      </c>
      <c r="K38" s="12">
        <v>1</v>
      </c>
      <c r="L38" s="12">
        <v>1.6699999999999999E-4</v>
      </c>
      <c r="M38">
        <v>0.99</v>
      </c>
    </row>
    <row r="39" spans="1:13" x14ac:dyDescent="0.35">
      <c r="A39" t="s">
        <v>19</v>
      </c>
      <c r="B39">
        <v>5</v>
      </c>
      <c r="C39" t="s">
        <v>14</v>
      </c>
      <c r="D39">
        <v>256</v>
      </c>
      <c r="E39">
        <v>4</v>
      </c>
      <c r="F39">
        <v>21810</v>
      </c>
      <c r="G39" s="10">
        <v>124859</v>
      </c>
      <c r="H39" s="8">
        <v>0.17467703569626539</v>
      </c>
      <c r="I39" s="12">
        <v>0.65466400000000002</v>
      </c>
      <c r="J39">
        <v>133</v>
      </c>
      <c r="K39" s="12">
        <v>0.99248099999999995</v>
      </c>
      <c r="L39" s="12">
        <v>9.1669999999999998E-3</v>
      </c>
      <c r="M39">
        <v>0.9</v>
      </c>
    </row>
    <row r="40" spans="1:13" x14ac:dyDescent="0.35">
      <c r="A40" t="s">
        <v>20</v>
      </c>
      <c r="B40">
        <v>5</v>
      </c>
      <c r="C40" t="s">
        <v>14</v>
      </c>
      <c r="D40">
        <v>256</v>
      </c>
      <c r="E40">
        <v>4</v>
      </c>
      <c r="F40">
        <v>31077</v>
      </c>
      <c r="G40" s="10">
        <v>72823</v>
      </c>
      <c r="H40" s="8">
        <v>0.42674704420306769</v>
      </c>
      <c r="I40" s="12">
        <v>6.3900000000000003E-4</v>
      </c>
      <c r="J40">
        <v>37</v>
      </c>
      <c r="K40" s="12">
        <v>0.21621599999999999</v>
      </c>
      <c r="L40" s="12">
        <v>0.34782600000000002</v>
      </c>
      <c r="M40">
        <v>0.53</v>
      </c>
    </row>
    <row r="41" spans="1:13" x14ac:dyDescent="0.35">
      <c r="A41" t="s">
        <v>21</v>
      </c>
      <c r="B41">
        <v>5</v>
      </c>
      <c r="C41" t="s">
        <v>14</v>
      </c>
      <c r="D41">
        <v>256</v>
      </c>
      <c r="E41">
        <v>4</v>
      </c>
      <c r="F41">
        <v>26630</v>
      </c>
      <c r="G41" s="10">
        <v>122385</v>
      </c>
      <c r="H41" s="8">
        <v>0.21759202516648282</v>
      </c>
      <c r="I41" s="12">
        <v>0.50768599999999997</v>
      </c>
      <c r="J41">
        <v>165</v>
      </c>
      <c r="K41" s="12">
        <v>0.96363600000000005</v>
      </c>
      <c r="L41" s="12">
        <v>9.4640000000000002E-3</v>
      </c>
      <c r="M41">
        <v>0.91</v>
      </c>
    </row>
    <row r="42" spans="1:13" x14ac:dyDescent="0.35">
      <c r="A42" t="s">
        <v>13</v>
      </c>
      <c r="B42">
        <v>5</v>
      </c>
      <c r="C42" t="s">
        <v>14</v>
      </c>
      <c r="D42">
        <v>512</v>
      </c>
      <c r="E42">
        <v>4</v>
      </c>
      <c r="F42">
        <v>24798</v>
      </c>
      <c r="G42" s="10">
        <v>113998</v>
      </c>
      <c r="H42" s="8">
        <v>0.21753013210758085</v>
      </c>
      <c r="I42" s="12">
        <v>0.62556400000000001</v>
      </c>
      <c r="J42">
        <v>2364</v>
      </c>
      <c r="K42" s="12">
        <v>0</v>
      </c>
      <c r="L42" s="12">
        <v>0</v>
      </c>
      <c r="M42">
        <v>0.83</v>
      </c>
    </row>
    <row r="43" spans="1:13" x14ac:dyDescent="0.35">
      <c r="A43" t="s">
        <v>15</v>
      </c>
      <c r="B43">
        <v>5</v>
      </c>
      <c r="C43" t="s">
        <v>14</v>
      </c>
      <c r="D43">
        <v>512</v>
      </c>
      <c r="E43">
        <v>4</v>
      </c>
      <c r="F43">
        <v>21825</v>
      </c>
      <c r="G43" s="10">
        <v>152856</v>
      </c>
      <c r="H43" s="8">
        <v>0.14278144135657089</v>
      </c>
      <c r="I43" s="12">
        <v>0.698187</v>
      </c>
      <c r="J43">
        <v>74</v>
      </c>
      <c r="K43" s="12">
        <v>1</v>
      </c>
      <c r="L43" s="12">
        <v>3.0829999999999998E-3</v>
      </c>
      <c r="M43">
        <v>0.94</v>
      </c>
    </row>
    <row r="44" spans="1:13" x14ac:dyDescent="0.35">
      <c r="A44" t="s">
        <v>16</v>
      </c>
      <c r="B44">
        <v>5</v>
      </c>
      <c r="C44" t="s">
        <v>14</v>
      </c>
      <c r="D44">
        <v>512</v>
      </c>
      <c r="E44">
        <v>4</v>
      </c>
      <c r="F44">
        <v>18222</v>
      </c>
      <c r="G44" s="10">
        <v>145289</v>
      </c>
      <c r="H44" s="8">
        <v>0.12541899249082863</v>
      </c>
      <c r="I44" s="12">
        <v>0.617784</v>
      </c>
      <c r="J44">
        <v>55</v>
      </c>
      <c r="K44" s="12">
        <v>0.96363600000000005</v>
      </c>
      <c r="L44" s="12">
        <v>3.6749999999999999E-3</v>
      </c>
      <c r="M44">
        <v>0.89</v>
      </c>
    </row>
    <row r="45" spans="1:13" x14ac:dyDescent="0.35">
      <c r="A45" t="s">
        <v>17</v>
      </c>
      <c r="B45">
        <v>5</v>
      </c>
      <c r="C45" t="s">
        <v>14</v>
      </c>
      <c r="D45">
        <v>512</v>
      </c>
      <c r="E45">
        <v>4</v>
      </c>
      <c r="F45">
        <v>17007</v>
      </c>
      <c r="G45" s="10">
        <v>226223</v>
      </c>
      <c r="H45" s="8">
        <v>7.5178032295566757E-2</v>
      </c>
      <c r="I45" s="12">
        <v>0.64458899999999997</v>
      </c>
      <c r="J45">
        <v>41</v>
      </c>
      <c r="K45" s="12">
        <v>1</v>
      </c>
      <c r="L45" s="12">
        <v>2.1350000000000002E-3</v>
      </c>
      <c r="M45">
        <v>0.69</v>
      </c>
    </row>
    <row r="46" spans="1:13" x14ac:dyDescent="0.35">
      <c r="A46" t="s">
        <v>18</v>
      </c>
      <c r="B46">
        <v>5</v>
      </c>
      <c r="C46" t="s">
        <v>14</v>
      </c>
      <c r="D46">
        <v>512</v>
      </c>
      <c r="E46">
        <v>4</v>
      </c>
      <c r="F46">
        <v>23056</v>
      </c>
      <c r="G46" s="10">
        <v>142217</v>
      </c>
      <c r="H46" s="8">
        <v>0.16211845278693826</v>
      </c>
      <c r="I46" s="12">
        <v>0.69</v>
      </c>
      <c r="J46">
        <v>4</v>
      </c>
      <c r="K46" s="12">
        <v>1</v>
      </c>
      <c r="L46" s="12">
        <v>1.6699999999999999E-4</v>
      </c>
      <c r="M46">
        <v>0.99</v>
      </c>
    </row>
    <row r="47" spans="1:13" x14ac:dyDescent="0.35">
      <c r="A47" t="s">
        <v>19</v>
      </c>
      <c r="B47">
        <v>5</v>
      </c>
      <c r="C47" t="s">
        <v>14</v>
      </c>
      <c r="D47">
        <v>512</v>
      </c>
      <c r="E47">
        <v>4</v>
      </c>
      <c r="F47">
        <v>21810</v>
      </c>
      <c r="G47" s="10">
        <v>124859</v>
      </c>
      <c r="H47" s="8">
        <v>0.17467703569626539</v>
      </c>
      <c r="I47" s="12">
        <v>0.65466400000000002</v>
      </c>
      <c r="J47">
        <v>133</v>
      </c>
      <c r="K47" s="12">
        <v>0.99248099999999995</v>
      </c>
      <c r="L47" s="12">
        <v>9.1669999999999998E-3</v>
      </c>
      <c r="M47">
        <v>0.88</v>
      </c>
    </row>
    <row r="48" spans="1:13" x14ac:dyDescent="0.35">
      <c r="A48" t="s">
        <v>20</v>
      </c>
      <c r="B48">
        <v>5</v>
      </c>
      <c r="C48" t="s">
        <v>14</v>
      </c>
      <c r="D48">
        <v>512</v>
      </c>
      <c r="E48">
        <v>4</v>
      </c>
      <c r="F48">
        <v>31077</v>
      </c>
      <c r="G48" s="10">
        <v>72822</v>
      </c>
      <c r="H48" s="8">
        <v>0.4267529043420944</v>
      </c>
      <c r="I48" s="12">
        <v>6.3900000000000003E-4</v>
      </c>
      <c r="J48">
        <v>36</v>
      </c>
      <c r="K48" s="12">
        <v>0.222222</v>
      </c>
      <c r="L48" s="12">
        <v>0.34782600000000002</v>
      </c>
      <c r="M48">
        <v>0.54</v>
      </c>
    </row>
    <row r="49" spans="1:13" x14ac:dyDescent="0.35">
      <c r="A49" t="s">
        <v>21</v>
      </c>
      <c r="B49">
        <v>5</v>
      </c>
      <c r="C49" t="s">
        <v>14</v>
      </c>
      <c r="D49">
        <v>512</v>
      </c>
      <c r="E49">
        <v>4</v>
      </c>
      <c r="F49">
        <v>26630</v>
      </c>
      <c r="G49" s="10">
        <v>122385</v>
      </c>
      <c r="H49" s="8">
        <v>0.21759202516648282</v>
      </c>
      <c r="I49" s="12">
        <v>0.50768599999999997</v>
      </c>
      <c r="J49">
        <v>165</v>
      </c>
      <c r="K49" s="12">
        <v>0.96363600000000005</v>
      </c>
      <c r="L49" s="12">
        <v>9.4640000000000002E-3</v>
      </c>
      <c r="M49">
        <v>0.92</v>
      </c>
    </row>
    <row r="50" spans="1:13" x14ac:dyDescent="0.35">
      <c r="A50" t="s">
        <v>13</v>
      </c>
      <c r="B50">
        <v>5</v>
      </c>
      <c r="C50" t="s">
        <v>14</v>
      </c>
      <c r="D50">
        <v>256</v>
      </c>
      <c r="E50">
        <v>16</v>
      </c>
      <c r="F50">
        <v>24798</v>
      </c>
      <c r="G50" s="10">
        <v>113998</v>
      </c>
      <c r="H50" s="8">
        <v>0.21753013210758085</v>
      </c>
      <c r="I50" s="12">
        <v>0.62556400000000001</v>
      </c>
      <c r="J50">
        <v>4697</v>
      </c>
      <c r="K50" s="12">
        <v>0</v>
      </c>
      <c r="L50" s="12">
        <v>0</v>
      </c>
      <c r="M50">
        <v>0.81</v>
      </c>
    </row>
    <row r="51" spans="1:13" x14ac:dyDescent="0.35">
      <c r="A51" t="s">
        <v>15</v>
      </c>
      <c r="B51">
        <v>5</v>
      </c>
      <c r="C51" t="s">
        <v>14</v>
      </c>
      <c r="D51">
        <v>256</v>
      </c>
      <c r="E51">
        <v>16</v>
      </c>
      <c r="F51">
        <v>21825</v>
      </c>
      <c r="G51" s="10">
        <v>152909</v>
      </c>
      <c r="H51" s="8">
        <v>0.14273195168368114</v>
      </c>
      <c r="I51" s="12">
        <v>0.69820800000000005</v>
      </c>
      <c r="J51">
        <v>136</v>
      </c>
      <c r="K51" s="12">
        <v>0.54411799999999999</v>
      </c>
      <c r="L51" s="12">
        <v>3.0829999999999998E-3</v>
      </c>
      <c r="M51">
        <v>0.9</v>
      </c>
    </row>
    <row r="52" spans="1:13" x14ac:dyDescent="0.35">
      <c r="A52" t="s">
        <v>16</v>
      </c>
      <c r="B52">
        <v>5</v>
      </c>
      <c r="C52" t="s">
        <v>14</v>
      </c>
      <c r="D52">
        <v>256</v>
      </c>
      <c r="E52">
        <v>16</v>
      </c>
      <c r="F52">
        <v>18222</v>
      </c>
      <c r="G52" s="10">
        <v>145289</v>
      </c>
      <c r="H52" s="8">
        <v>0.12541899249082863</v>
      </c>
      <c r="I52" s="12">
        <v>0.617784</v>
      </c>
      <c r="J52">
        <v>55</v>
      </c>
      <c r="K52" s="12">
        <v>0.96363600000000005</v>
      </c>
      <c r="L52" s="12">
        <v>3.6749999999999999E-3</v>
      </c>
      <c r="M52">
        <v>0.83</v>
      </c>
    </row>
    <row r="53" spans="1:13" x14ac:dyDescent="0.35">
      <c r="A53" t="s">
        <v>17</v>
      </c>
      <c r="B53">
        <v>5</v>
      </c>
      <c r="C53" t="s">
        <v>14</v>
      </c>
      <c r="D53">
        <v>256</v>
      </c>
      <c r="E53">
        <v>16</v>
      </c>
      <c r="F53">
        <v>17007</v>
      </c>
      <c r="G53" s="10">
        <v>226227</v>
      </c>
      <c r="H53" s="8">
        <v>7.5176703046055504E-2</v>
      </c>
      <c r="I53" s="12">
        <v>0.64460799999999996</v>
      </c>
      <c r="J53">
        <v>78</v>
      </c>
      <c r="K53" s="12">
        <v>0.57692299999999996</v>
      </c>
      <c r="L53" s="12">
        <v>2.3440000000000002E-3</v>
      </c>
      <c r="M53">
        <v>1.31</v>
      </c>
    </row>
    <row r="54" spans="1:13" x14ac:dyDescent="0.35">
      <c r="A54" t="s">
        <v>18</v>
      </c>
      <c r="B54">
        <v>5</v>
      </c>
      <c r="C54" t="s">
        <v>14</v>
      </c>
      <c r="D54">
        <v>256</v>
      </c>
      <c r="E54">
        <v>16</v>
      </c>
      <c r="F54">
        <v>23056</v>
      </c>
      <c r="G54" s="10">
        <v>142217</v>
      </c>
      <c r="H54" s="8">
        <v>0.16211845278693826</v>
      </c>
      <c r="I54" s="12">
        <v>0.68996900000000005</v>
      </c>
      <c r="J54">
        <v>7</v>
      </c>
      <c r="K54" s="12">
        <v>1</v>
      </c>
      <c r="L54" s="12">
        <v>2.92E-4</v>
      </c>
      <c r="M54">
        <v>0.94</v>
      </c>
    </row>
    <row r="55" spans="1:13" x14ac:dyDescent="0.35">
      <c r="A55" t="s">
        <v>19</v>
      </c>
      <c r="B55">
        <v>5</v>
      </c>
      <c r="C55" t="s">
        <v>14</v>
      </c>
      <c r="D55">
        <v>256</v>
      </c>
      <c r="E55">
        <v>16</v>
      </c>
      <c r="F55">
        <v>21810</v>
      </c>
      <c r="G55" s="10">
        <v>124823</v>
      </c>
      <c r="H55" s="8">
        <v>0.17472741401824984</v>
      </c>
      <c r="I55" s="12">
        <v>0.65249999999999997</v>
      </c>
      <c r="J55">
        <v>353</v>
      </c>
      <c r="K55" s="12">
        <v>0.50141599999999997</v>
      </c>
      <c r="L55" s="12">
        <v>1.2293E-2</v>
      </c>
      <c r="M55">
        <v>0.83</v>
      </c>
    </row>
    <row r="56" spans="1:13" x14ac:dyDescent="0.35">
      <c r="A56" t="s">
        <v>20</v>
      </c>
      <c r="B56">
        <v>5</v>
      </c>
      <c r="C56" t="s">
        <v>14</v>
      </c>
      <c r="D56">
        <v>256</v>
      </c>
      <c r="E56">
        <v>16</v>
      </c>
      <c r="F56">
        <v>31077</v>
      </c>
      <c r="G56" s="10">
        <v>72852</v>
      </c>
      <c r="H56" s="8">
        <v>0.4265771701531873</v>
      </c>
      <c r="I56" s="12">
        <v>6.6699999999999995E-4</v>
      </c>
      <c r="J56">
        <v>52</v>
      </c>
      <c r="K56" s="12">
        <v>0.15384600000000001</v>
      </c>
      <c r="L56" s="12">
        <v>0.33333299999999999</v>
      </c>
      <c r="M56">
        <v>0.5</v>
      </c>
    </row>
    <row r="57" spans="1:13" x14ac:dyDescent="0.35">
      <c r="A57" t="s">
        <v>21</v>
      </c>
      <c r="B57">
        <v>5</v>
      </c>
      <c r="C57" t="s">
        <v>14</v>
      </c>
      <c r="D57">
        <v>256</v>
      </c>
      <c r="E57">
        <v>16</v>
      </c>
      <c r="F57">
        <v>26630</v>
      </c>
      <c r="G57" s="10">
        <v>122341</v>
      </c>
      <c r="H57" s="8">
        <v>0.21767028224389207</v>
      </c>
      <c r="I57" s="12">
        <v>0.50753300000000001</v>
      </c>
      <c r="J57">
        <v>290</v>
      </c>
      <c r="K57" s="12">
        <v>0.57241399999999998</v>
      </c>
      <c r="L57" s="12">
        <v>9.8820000000000002E-3</v>
      </c>
      <c r="M57">
        <v>0.85</v>
      </c>
    </row>
    <row r="58" spans="1:13" x14ac:dyDescent="0.35">
      <c r="A58" t="s">
        <v>13</v>
      </c>
      <c r="B58">
        <v>5</v>
      </c>
      <c r="C58" t="s">
        <v>14</v>
      </c>
      <c r="D58">
        <v>256</v>
      </c>
      <c r="E58">
        <v>32</v>
      </c>
      <c r="F58">
        <v>24798</v>
      </c>
      <c r="G58" s="10">
        <v>113998</v>
      </c>
      <c r="H58" s="8">
        <v>0.21753013210758085</v>
      </c>
      <c r="I58" s="12">
        <v>0.62556400000000001</v>
      </c>
      <c r="J58">
        <v>4697</v>
      </c>
      <c r="K58" s="12">
        <v>0</v>
      </c>
      <c r="L58" s="12">
        <v>0</v>
      </c>
      <c r="M58">
        <v>0.82</v>
      </c>
    </row>
    <row r="59" spans="1:13" x14ac:dyDescent="0.35">
      <c r="A59" t="s">
        <v>15</v>
      </c>
      <c r="B59">
        <v>5</v>
      </c>
      <c r="C59" t="s">
        <v>14</v>
      </c>
      <c r="D59">
        <v>256</v>
      </c>
      <c r="E59">
        <v>32</v>
      </c>
      <c r="F59">
        <v>21825</v>
      </c>
      <c r="G59" s="10">
        <v>152909</v>
      </c>
      <c r="H59" s="8">
        <v>0.14273195168368114</v>
      </c>
      <c r="I59" s="12">
        <v>0.69820800000000005</v>
      </c>
      <c r="J59">
        <v>136</v>
      </c>
      <c r="K59" s="12">
        <v>0.54411799999999999</v>
      </c>
      <c r="L59" s="12">
        <v>3.0829999999999998E-3</v>
      </c>
      <c r="M59">
        <v>0.95</v>
      </c>
    </row>
    <row r="60" spans="1:13" x14ac:dyDescent="0.35">
      <c r="A60" t="s">
        <v>16</v>
      </c>
      <c r="B60">
        <v>5</v>
      </c>
      <c r="C60" t="s">
        <v>14</v>
      </c>
      <c r="D60">
        <v>256</v>
      </c>
      <c r="E60">
        <v>32</v>
      </c>
      <c r="F60">
        <v>18222</v>
      </c>
      <c r="G60" s="10">
        <v>145289</v>
      </c>
      <c r="H60" s="8">
        <v>0.12541899249082863</v>
      </c>
      <c r="I60" s="12">
        <v>0.617784</v>
      </c>
      <c r="J60">
        <v>55</v>
      </c>
      <c r="K60" s="12">
        <v>0.96363600000000005</v>
      </c>
      <c r="L60" s="12">
        <v>3.6749999999999999E-3</v>
      </c>
      <c r="M60">
        <v>0.89</v>
      </c>
    </row>
    <row r="61" spans="1:13" x14ac:dyDescent="0.35">
      <c r="A61" t="s">
        <v>17</v>
      </c>
      <c r="B61">
        <v>5</v>
      </c>
      <c r="C61" t="s">
        <v>14</v>
      </c>
      <c r="D61">
        <v>256</v>
      </c>
      <c r="E61">
        <v>32</v>
      </c>
      <c r="F61">
        <v>17007</v>
      </c>
      <c r="G61" s="10">
        <v>226227</v>
      </c>
      <c r="H61" s="8">
        <v>7.5176703046055504E-2</v>
      </c>
      <c r="I61" s="12">
        <v>0.64460799999999996</v>
      </c>
      <c r="J61">
        <v>78</v>
      </c>
      <c r="K61" s="12">
        <v>0.57692299999999996</v>
      </c>
      <c r="L61" s="12">
        <v>2.3440000000000002E-3</v>
      </c>
      <c r="M61">
        <v>1.41</v>
      </c>
    </row>
    <row r="62" spans="1:13" x14ac:dyDescent="0.35">
      <c r="A62" t="s">
        <v>18</v>
      </c>
      <c r="B62">
        <v>5</v>
      </c>
      <c r="C62" t="s">
        <v>14</v>
      </c>
      <c r="D62">
        <v>256</v>
      </c>
      <c r="E62">
        <v>32</v>
      </c>
      <c r="F62">
        <v>23056</v>
      </c>
      <c r="G62" s="10">
        <v>142217</v>
      </c>
      <c r="H62" s="8">
        <v>0.16211845278693826</v>
      </c>
      <c r="I62" s="12">
        <v>0.68996900000000005</v>
      </c>
      <c r="J62">
        <v>7</v>
      </c>
      <c r="K62" s="12">
        <v>1</v>
      </c>
      <c r="L62" s="12">
        <v>2.92E-4</v>
      </c>
      <c r="M62">
        <v>0.97</v>
      </c>
    </row>
    <row r="63" spans="1:13" x14ac:dyDescent="0.35">
      <c r="A63" t="s">
        <v>19</v>
      </c>
      <c r="B63">
        <v>5</v>
      </c>
      <c r="C63" t="s">
        <v>14</v>
      </c>
      <c r="D63">
        <v>256</v>
      </c>
      <c r="E63">
        <v>32</v>
      </c>
      <c r="F63">
        <v>21810</v>
      </c>
      <c r="G63" s="10">
        <v>124823</v>
      </c>
      <c r="H63" s="8">
        <v>0.17472741401824984</v>
      </c>
      <c r="I63" s="12">
        <v>0.65249999999999997</v>
      </c>
      <c r="J63">
        <v>353</v>
      </c>
      <c r="K63" s="12">
        <v>0.50141599999999997</v>
      </c>
      <c r="L63" s="12">
        <v>1.2293E-2</v>
      </c>
      <c r="M63">
        <v>0.87</v>
      </c>
    </row>
    <row r="64" spans="1:13" x14ac:dyDescent="0.35">
      <c r="A64" t="s">
        <v>20</v>
      </c>
      <c r="B64">
        <v>5</v>
      </c>
      <c r="C64" t="s">
        <v>14</v>
      </c>
      <c r="D64">
        <v>256</v>
      </c>
      <c r="E64">
        <v>32</v>
      </c>
      <c r="F64">
        <v>31077</v>
      </c>
      <c r="G64" s="10">
        <v>72852</v>
      </c>
      <c r="H64" s="8">
        <v>0.4265771701531873</v>
      </c>
      <c r="I64" s="12">
        <v>6.6699999999999995E-4</v>
      </c>
      <c r="J64">
        <v>52</v>
      </c>
      <c r="K64" s="12">
        <v>0.15384600000000001</v>
      </c>
      <c r="L64" s="12">
        <v>0.33333299999999999</v>
      </c>
      <c r="M64">
        <v>0.54</v>
      </c>
    </row>
    <row r="65" spans="1:13" x14ac:dyDescent="0.35">
      <c r="A65" t="s">
        <v>21</v>
      </c>
      <c r="B65">
        <v>5</v>
      </c>
      <c r="C65" t="s">
        <v>14</v>
      </c>
      <c r="D65">
        <v>256</v>
      </c>
      <c r="E65">
        <v>32</v>
      </c>
      <c r="F65">
        <v>26630</v>
      </c>
      <c r="G65" s="10">
        <v>122341</v>
      </c>
      <c r="H65" s="8">
        <v>0.21767028224389207</v>
      </c>
      <c r="I65" s="12">
        <v>0.50753300000000001</v>
      </c>
      <c r="J65">
        <v>290</v>
      </c>
      <c r="K65" s="12">
        <v>0.57241399999999998</v>
      </c>
      <c r="L65" s="12">
        <v>9.8820000000000002E-3</v>
      </c>
      <c r="M65">
        <v>0.93</v>
      </c>
    </row>
    <row r="66" spans="1:13" x14ac:dyDescent="0.35">
      <c r="A66" t="s">
        <v>13</v>
      </c>
      <c r="B66">
        <v>10</v>
      </c>
      <c r="C66" t="s">
        <v>14</v>
      </c>
      <c r="D66">
        <v>256</v>
      </c>
      <c r="E66">
        <v>4</v>
      </c>
      <c r="F66">
        <v>49513</v>
      </c>
      <c r="G66" s="10">
        <v>218189</v>
      </c>
      <c r="H66" s="8">
        <v>0.22692711364917573</v>
      </c>
      <c r="I66" s="12">
        <v>0.62231300000000001</v>
      </c>
      <c r="J66">
        <v>3820</v>
      </c>
      <c r="K66" s="12">
        <v>0</v>
      </c>
      <c r="L66" s="12">
        <v>0</v>
      </c>
      <c r="M66">
        <v>1.6</v>
      </c>
    </row>
    <row r="67" spans="1:13" x14ac:dyDescent="0.35">
      <c r="A67" t="s">
        <v>15</v>
      </c>
      <c r="B67">
        <v>10</v>
      </c>
      <c r="C67" t="s">
        <v>14</v>
      </c>
      <c r="D67">
        <v>256</v>
      </c>
      <c r="E67">
        <v>4</v>
      </c>
      <c r="F67">
        <v>43580</v>
      </c>
      <c r="G67" s="10">
        <v>305657</v>
      </c>
      <c r="H67" s="8">
        <v>0.14257811861007599</v>
      </c>
      <c r="I67" s="12">
        <v>0.69850000000000001</v>
      </c>
      <c r="J67">
        <v>78</v>
      </c>
      <c r="K67" s="12">
        <v>1</v>
      </c>
      <c r="L67" s="12">
        <v>1.6249999999999999E-3</v>
      </c>
      <c r="M67">
        <v>1.79</v>
      </c>
    </row>
    <row r="68" spans="1:13" x14ac:dyDescent="0.35">
      <c r="A68" t="s">
        <v>16</v>
      </c>
      <c r="B68">
        <v>10</v>
      </c>
      <c r="C68" t="s">
        <v>14</v>
      </c>
      <c r="D68">
        <v>256</v>
      </c>
      <c r="E68">
        <v>4</v>
      </c>
      <c r="F68">
        <v>36372</v>
      </c>
      <c r="G68" s="10">
        <v>290464</v>
      </c>
      <c r="H68" s="8">
        <v>0.12522033711578714</v>
      </c>
      <c r="I68" s="12">
        <v>0.620479</v>
      </c>
      <c r="J68">
        <v>55</v>
      </c>
      <c r="K68" s="12">
        <v>0.96363600000000005</v>
      </c>
      <c r="L68" s="12">
        <v>1.8370000000000001E-3</v>
      </c>
      <c r="M68">
        <v>1.64</v>
      </c>
    </row>
    <row r="69" spans="1:13" x14ac:dyDescent="0.35">
      <c r="A69" t="s">
        <v>17</v>
      </c>
      <c r="B69">
        <v>10</v>
      </c>
      <c r="C69" t="s">
        <v>14</v>
      </c>
      <c r="D69">
        <v>256</v>
      </c>
      <c r="E69">
        <v>4</v>
      </c>
      <c r="F69">
        <v>33942</v>
      </c>
      <c r="G69" s="10">
        <v>452289</v>
      </c>
      <c r="H69" s="8">
        <v>7.5044938081624796E-2</v>
      </c>
      <c r="I69" s="12">
        <v>0.64474299999999996</v>
      </c>
      <c r="J69">
        <v>41</v>
      </c>
      <c r="K69" s="12">
        <v>1</v>
      </c>
      <c r="L69" s="12">
        <v>1.0679999999999999E-3</v>
      </c>
      <c r="M69">
        <v>2.65</v>
      </c>
    </row>
    <row r="70" spans="1:13" x14ac:dyDescent="0.35">
      <c r="A70" t="s">
        <v>18</v>
      </c>
      <c r="B70">
        <v>10</v>
      </c>
      <c r="C70" t="s">
        <v>14</v>
      </c>
      <c r="D70">
        <v>256</v>
      </c>
      <c r="E70">
        <v>4</v>
      </c>
      <c r="F70">
        <v>46021</v>
      </c>
      <c r="G70" s="10">
        <v>284077</v>
      </c>
      <c r="H70" s="8">
        <v>0.16200185161065486</v>
      </c>
      <c r="I70" s="12">
        <v>0.69002600000000003</v>
      </c>
      <c r="J70">
        <v>4</v>
      </c>
      <c r="K70" s="12">
        <v>1</v>
      </c>
      <c r="L70" s="12">
        <v>8.2999999999999998E-5</v>
      </c>
      <c r="M70">
        <v>1.81</v>
      </c>
    </row>
    <row r="71" spans="1:13" x14ac:dyDescent="0.35">
      <c r="A71" t="s">
        <v>19</v>
      </c>
      <c r="B71">
        <v>10</v>
      </c>
      <c r="C71" t="s">
        <v>14</v>
      </c>
      <c r="D71">
        <v>256</v>
      </c>
      <c r="E71">
        <v>4</v>
      </c>
      <c r="F71">
        <v>43550</v>
      </c>
      <c r="G71" s="10">
        <v>249542</v>
      </c>
      <c r="H71" s="8">
        <v>0.17451972012727315</v>
      </c>
      <c r="I71" s="12">
        <v>0.656528</v>
      </c>
      <c r="J71">
        <v>133</v>
      </c>
      <c r="K71" s="12">
        <v>0.99248099999999995</v>
      </c>
      <c r="L71" s="12">
        <v>4.5830000000000003E-3</v>
      </c>
      <c r="M71">
        <v>1.61</v>
      </c>
    </row>
    <row r="72" spans="1:13" x14ac:dyDescent="0.35">
      <c r="A72" t="s">
        <v>20</v>
      </c>
      <c r="B72">
        <v>10</v>
      </c>
      <c r="C72" t="s">
        <v>14</v>
      </c>
      <c r="D72">
        <v>256</v>
      </c>
      <c r="E72">
        <v>4</v>
      </c>
      <c r="F72">
        <v>62077</v>
      </c>
      <c r="G72" s="10">
        <v>145419</v>
      </c>
      <c r="H72" s="8">
        <v>0.426883694702893</v>
      </c>
      <c r="I72" s="12">
        <v>3.3300000000000002E-4</v>
      </c>
      <c r="J72">
        <v>37</v>
      </c>
      <c r="K72" s="12">
        <v>0.162162</v>
      </c>
      <c r="L72" s="12">
        <v>0.26086999999999999</v>
      </c>
      <c r="M72">
        <v>0.92</v>
      </c>
    </row>
    <row r="73" spans="1:13" x14ac:dyDescent="0.35">
      <c r="A73" t="s">
        <v>21</v>
      </c>
      <c r="B73">
        <v>10</v>
      </c>
      <c r="C73" t="s">
        <v>14</v>
      </c>
      <c r="D73">
        <v>256</v>
      </c>
      <c r="E73">
        <v>4</v>
      </c>
      <c r="F73">
        <v>53190</v>
      </c>
      <c r="G73" s="10">
        <v>244903</v>
      </c>
      <c r="H73" s="8">
        <v>0.21718802954639183</v>
      </c>
      <c r="I73" s="12">
        <v>0.51077899999999998</v>
      </c>
      <c r="J73">
        <v>185</v>
      </c>
      <c r="K73" s="12">
        <v>0.98378399999999999</v>
      </c>
      <c r="L73" s="12">
        <v>5.4169999999999999E-3</v>
      </c>
      <c r="M73">
        <v>1.61</v>
      </c>
    </row>
    <row r="74" spans="1:13" x14ac:dyDescent="0.35">
      <c r="A74" t="s">
        <v>13</v>
      </c>
      <c r="B74">
        <v>10</v>
      </c>
      <c r="C74" t="s">
        <v>14</v>
      </c>
      <c r="D74">
        <v>512</v>
      </c>
      <c r="E74">
        <v>4</v>
      </c>
      <c r="F74">
        <v>49513</v>
      </c>
      <c r="G74" s="10">
        <v>218189</v>
      </c>
      <c r="H74" s="8">
        <v>0.22692711364917573</v>
      </c>
      <c r="I74" s="12">
        <v>0.62231300000000001</v>
      </c>
      <c r="J74">
        <v>3820</v>
      </c>
      <c r="K74" s="12">
        <v>0</v>
      </c>
      <c r="L74" s="12">
        <v>0</v>
      </c>
      <c r="M74">
        <v>1.57</v>
      </c>
    </row>
    <row r="75" spans="1:13" x14ac:dyDescent="0.35">
      <c r="A75" t="s">
        <v>15</v>
      </c>
      <c r="B75">
        <v>10</v>
      </c>
      <c r="C75" t="s">
        <v>14</v>
      </c>
      <c r="D75">
        <v>512</v>
      </c>
      <c r="E75">
        <v>4</v>
      </c>
      <c r="F75">
        <v>43580</v>
      </c>
      <c r="G75" s="10">
        <v>305657</v>
      </c>
      <c r="H75" s="8">
        <v>0.14257811861007599</v>
      </c>
      <c r="I75" s="12">
        <v>0.69850000000000001</v>
      </c>
      <c r="J75">
        <v>78</v>
      </c>
      <c r="K75" s="12">
        <v>1</v>
      </c>
      <c r="L75" s="12">
        <v>1.6249999999999999E-3</v>
      </c>
      <c r="M75">
        <v>1.77</v>
      </c>
    </row>
    <row r="76" spans="1:13" x14ac:dyDescent="0.35">
      <c r="A76" t="s">
        <v>16</v>
      </c>
      <c r="B76">
        <v>10</v>
      </c>
      <c r="C76" t="s">
        <v>14</v>
      </c>
      <c r="D76">
        <v>512</v>
      </c>
      <c r="E76">
        <v>4</v>
      </c>
      <c r="F76">
        <v>36372</v>
      </c>
      <c r="G76" s="10">
        <v>290464</v>
      </c>
      <c r="H76" s="8">
        <v>0.12522033711578714</v>
      </c>
      <c r="I76" s="12">
        <v>0.620479</v>
      </c>
      <c r="J76">
        <v>55</v>
      </c>
      <c r="K76" s="12">
        <v>0.96363600000000005</v>
      </c>
      <c r="L76" s="12">
        <v>1.8370000000000001E-3</v>
      </c>
      <c r="M76">
        <v>1.61</v>
      </c>
    </row>
    <row r="77" spans="1:13" x14ac:dyDescent="0.35">
      <c r="A77" t="s">
        <v>17</v>
      </c>
      <c r="B77">
        <v>10</v>
      </c>
      <c r="C77" t="s">
        <v>14</v>
      </c>
      <c r="D77">
        <v>512</v>
      </c>
      <c r="E77">
        <v>4</v>
      </c>
      <c r="F77">
        <v>33942</v>
      </c>
      <c r="G77" s="10">
        <v>452289</v>
      </c>
      <c r="H77" s="8">
        <v>7.5044938081624796E-2</v>
      </c>
      <c r="I77" s="12">
        <v>0.64474299999999996</v>
      </c>
      <c r="J77">
        <v>41</v>
      </c>
      <c r="K77" s="12">
        <v>1</v>
      </c>
      <c r="L77" s="12">
        <v>1.0679999999999999E-3</v>
      </c>
      <c r="M77">
        <v>2.6</v>
      </c>
    </row>
    <row r="78" spans="1:13" x14ac:dyDescent="0.35">
      <c r="A78" t="s">
        <v>18</v>
      </c>
      <c r="B78">
        <v>10</v>
      </c>
      <c r="C78" t="s">
        <v>14</v>
      </c>
      <c r="D78">
        <v>512</v>
      </c>
      <c r="E78">
        <v>4</v>
      </c>
      <c r="F78">
        <v>46021</v>
      </c>
      <c r="G78" s="10">
        <v>284077</v>
      </c>
      <c r="H78" s="8">
        <v>0.16200185161065486</v>
      </c>
      <c r="I78" s="12">
        <v>0.69002600000000003</v>
      </c>
      <c r="J78">
        <v>4</v>
      </c>
      <c r="K78" s="12">
        <v>1</v>
      </c>
      <c r="L78" s="12">
        <v>8.2999999999999998E-5</v>
      </c>
      <c r="M78">
        <v>1.22</v>
      </c>
    </row>
    <row r="79" spans="1:13" x14ac:dyDescent="0.35">
      <c r="A79" t="s">
        <v>19</v>
      </c>
      <c r="B79">
        <v>10</v>
      </c>
      <c r="C79" t="s">
        <v>14</v>
      </c>
      <c r="D79">
        <v>512</v>
      </c>
      <c r="E79">
        <v>4</v>
      </c>
      <c r="F79">
        <v>43550</v>
      </c>
      <c r="G79" s="10">
        <v>249542</v>
      </c>
      <c r="H79" s="8">
        <v>0.17451972012727315</v>
      </c>
      <c r="I79" s="12">
        <v>0.656528</v>
      </c>
      <c r="J79">
        <v>133</v>
      </c>
      <c r="K79" s="12">
        <v>0.99248099999999995</v>
      </c>
      <c r="L79" s="12">
        <v>4.5830000000000003E-3</v>
      </c>
      <c r="M79">
        <v>1.62</v>
      </c>
    </row>
    <row r="80" spans="1:13" x14ac:dyDescent="0.35">
      <c r="A80" t="s">
        <v>20</v>
      </c>
      <c r="B80">
        <v>10</v>
      </c>
      <c r="C80" t="s">
        <v>14</v>
      </c>
      <c r="D80">
        <v>512</v>
      </c>
      <c r="E80">
        <v>4</v>
      </c>
      <c r="F80">
        <v>62077</v>
      </c>
      <c r="G80" s="10">
        <v>145393</v>
      </c>
      <c r="H80" s="8">
        <v>0.42696003246373621</v>
      </c>
      <c r="I80" s="12">
        <v>3.3300000000000002E-4</v>
      </c>
      <c r="J80">
        <v>35</v>
      </c>
      <c r="K80" s="12">
        <v>0.171429</v>
      </c>
      <c r="L80" s="12">
        <v>0.26086999999999999</v>
      </c>
      <c r="M80">
        <v>0.98</v>
      </c>
    </row>
    <row r="81" spans="1:13" x14ac:dyDescent="0.35">
      <c r="A81" t="s">
        <v>21</v>
      </c>
      <c r="B81">
        <v>10</v>
      </c>
      <c r="C81" t="s">
        <v>14</v>
      </c>
      <c r="D81">
        <v>512</v>
      </c>
      <c r="E81">
        <v>4</v>
      </c>
      <c r="F81">
        <v>53190</v>
      </c>
      <c r="G81" s="10">
        <v>244903</v>
      </c>
      <c r="H81" s="8">
        <v>0.21718802954639183</v>
      </c>
      <c r="I81" s="12">
        <v>0.51077899999999998</v>
      </c>
      <c r="J81">
        <v>185</v>
      </c>
      <c r="K81" s="12">
        <v>0.98378399999999999</v>
      </c>
      <c r="L81" s="12">
        <v>5.4169999999999999E-3</v>
      </c>
      <c r="M81">
        <v>1.68</v>
      </c>
    </row>
    <row r="82" spans="1:13" x14ac:dyDescent="0.35">
      <c r="A82" t="s">
        <v>13</v>
      </c>
      <c r="B82">
        <v>10</v>
      </c>
      <c r="C82" t="s">
        <v>14</v>
      </c>
      <c r="D82">
        <v>256</v>
      </c>
      <c r="E82">
        <v>16</v>
      </c>
      <c r="F82">
        <v>49513</v>
      </c>
      <c r="G82" s="10">
        <v>218189</v>
      </c>
      <c r="H82" s="8">
        <v>0.22692711364917573</v>
      </c>
      <c r="I82" s="12">
        <v>0.62231300000000001</v>
      </c>
      <c r="J82">
        <v>8624</v>
      </c>
      <c r="K82" s="12">
        <v>0</v>
      </c>
      <c r="L82" s="12">
        <v>0</v>
      </c>
      <c r="M82">
        <v>1.6</v>
      </c>
    </row>
    <row r="83" spans="1:13" x14ac:dyDescent="0.35">
      <c r="A83" t="s">
        <v>15</v>
      </c>
      <c r="B83">
        <v>10</v>
      </c>
      <c r="C83" t="s">
        <v>14</v>
      </c>
      <c r="D83">
        <v>256</v>
      </c>
      <c r="E83">
        <v>16</v>
      </c>
      <c r="F83">
        <v>43580</v>
      </c>
      <c r="G83" s="10">
        <v>305710</v>
      </c>
      <c r="H83" s="8">
        <v>0.14255340028131236</v>
      </c>
      <c r="I83" s="12">
        <v>0.69850999999999996</v>
      </c>
      <c r="J83">
        <v>140</v>
      </c>
      <c r="K83" s="12">
        <v>0.55714300000000005</v>
      </c>
      <c r="L83" s="12">
        <v>1.6249999999999999E-3</v>
      </c>
      <c r="M83">
        <v>1.87</v>
      </c>
    </row>
    <row r="84" spans="1:13" x14ac:dyDescent="0.35">
      <c r="A84" t="s">
        <v>16</v>
      </c>
      <c r="B84">
        <v>10</v>
      </c>
      <c r="C84" t="s">
        <v>14</v>
      </c>
      <c r="D84">
        <v>256</v>
      </c>
      <c r="E84">
        <v>16</v>
      </c>
      <c r="F84">
        <v>36372</v>
      </c>
      <c r="G84" s="10">
        <v>290464</v>
      </c>
      <c r="H84" s="8">
        <v>0.12522033711578714</v>
      </c>
      <c r="I84" s="12">
        <v>0.620479</v>
      </c>
      <c r="J84">
        <v>55</v>
      </c>
      <c r="K84" s="12">
        <v>0.96363600000000005</v>
      </c>
      <c r="L84" s="12">
        <v>1.8370000000000001E-3</v>
      </c>
      <c r="M84">
        <v>1.77</v>
      </c>
    </row>
    <row r="85" spans="1:13" x14ac:dyDescent="0.35">
      <c r="A85" t="s">
        <v>17</v>
      </c>
      <c r="B85">
        <v>10</v>
      </c>
      <c r="C85" t="s">
        <v>14</v>
      </c>
      <c r="D85">
        <v>256</v>
      </c>
      <c r="E85">
        <v>16</v>
      </c>
      <c r="F85">
        <v>33942</v>
      </c>
      <c r="G85" s="10">
        <v>452315</v>
      </c>
      <c r="H85" s="8">
        <v>7.5040624343654314E-2</v>
      </c>
      <c r="I85" s="12">
        <v>0.64472099999999999</v>
      </c>
      <c r="J85">
        <v>78</v>
      </c>
      <c r="K85" s="12">
        <v>0.57692299999999996</v>
      </c>
      <c r="L85" s="12">
        <v>1.1720000000000001E-3</v>
      </c>
      <c r="M85">
        <v>2.6</v>
      </c>
    </row>
    <row r="86" spans="1:13" x14ac:dyDescent="0.35">
      <c r="A86" t="s">
        <v>18</v>
      </c>
      <c r="B86">
        <v>10</v>
      </c>
      <c r="C86" t="s">
        <v>14</v>
      </c>
      <c r="D86">
        <v>256</v>
      </c>
      <c r="E86">
        <v>16</v>
      </c>
      <c r="F86">
        <v>46021</v>
      </c>
      <c r="G86" s="10">
        <v>284077</v>
      </c>
      <c r="H86" s="8">
        <v>0.16200185161065486</v>
      </c>
      <c r="I86" s="12">
        <v>0.69004200000000004</v>
      </c>
      <c r="J86">
        <v>1</v>
      </c>
      <c r="K86" s="12">
        <v>1</v>
      </c>
      <c r="L86" s="12">
        <v>2.0999999999999999E-5</v>
      </c>
      <c r="M86">
        <v>1.88</v>
      </c>
    </row>
    <row r="87" spans="1:13" x14ac:dyDescent="0.35">
      <c r="A87" t="s">
        <v>19</v>
      </c>
      <c r="B87">
        <v>10</v>
      </c>
      <c r="C87" t="s">
        <v>14</v>
      </c>
      <c r="D87">
        <v>256</v>
      </c>
      <c r="E87">
        <v>16</v>
      </c>
      <c r="F87">
        <v>43550</v>
      </c>
      <c r="G87" s="10">
        <v>249639</v>
      </c>
      <c r="H87" s="8">
        <v>0.1744519085559548</v>
      </c>
      <c r="I87" s="12">
        <v>0.65673599999999999</v>
      </c>
      <c r="J87">
        <v>226</v>
      </c>
      <c r="K87" s="12">
        <v>0.53982300000000005</v>
      </c>
      <c r="L87" s="12">
        <v>4.2360000000000002E-3</v>
      </c>
      <c r="M87">
        <v>1.66</v>
      </c>
    </row>
    <row r="88" spans="1:13" x14ac:dyDescent="0.35">
      <c r="A88" t="s">
        <v>20</v>
      </c>
      <c r="B88">
        <v>10</v>
      </c>
      <c r="C88" t="s">
        <v>14</v>
      </c>
      <c r="D88">
        <v>256</v>
      </c>
      <c r="E88">
        <v>16</v>
      </c>
      <c r="F88">
        <v>62077</v>
      </c>
      <c r="G88" s="10">
        <v>145439</v>
      </c>
      <c r="H88" s="8">
        <v>0.42682499192101153</v>
      </c>
      <c r="I88" s="12">
        <v>3.19E-4</v>
      </c>
      <c r="J88">
        <v>47</v>
      </c>
      <c r="K88" s="12">
        <v>0.170213</v>
      </c>
      <c r="L88" s="12">
        <v>0.34782600000000002</v>
      </c>
      <c r="M88">
        <v>0.97</v>
      </c>
    </row>
    <row r="89" spans="1:13" x14ac:dyDescent="0.35">
      <c r="A89" t="s">
        <v>21</v>
      </c>
      <c r="B89">
        <v>10</v>
      </c>
      <c r="C89" t="s">
        <v>14</v>
      </c>
      <c r="D89">
        <v>256</v>
      </c>
      <c r="E89">
        <v>16</v>
      </c>
      <c r="F89">
        <v>53190</v>
      </c>
      <c r="G89" s="10">
        <v>244825</v>
      </c>
      <c r="H89" s="8">
        <v>0.21725722454814664</v>
      </c>
      <c r="I89" s="12">
        <v>0.51066299999999998</v>
      </c>
      <c r="J89">
        <v>291</v>
      </c>
      <c r="K89" s="12">
        <v>0.57388300000000003</v>
      </c>
      <c r="L89" s="12">
        <v>4.9699999999999996E-3</v>
      </c>
      <c r="M89">
        <v>1.69</v>
      </c>
    </row>
    <row r="90" spans="1:13" x14ac:dyDescent="0.35">
      <c r="A90" t="s">
        <v>13</v>
      </c>
      <c r="B90">
        <v>10</v>
      </c>
      <c r="C90" t="s">
        <v>14</v>
      </c>
      <c r="D90">
        <v>256</v>
      </c>
      <c r="E90">
        <v>32</v>
      </c>
      <c r="F90">
        <v>49513</v>
      </c>
      <c r="G90" s="10">
        <v>218189</v>
      </c>
      <c r="H90" s="8">
        <v>0.22692711364917573</v>
      </c>
      <c r="I90" s="12">
        <v>0.62231300000000001</v>
      </c>
      <c r="J90">
        <v>8624</v>
      </c>
      <c r="K90" s="12">
        <v>0</v>
      </c>
      <c r="L90" s="12">
        <v>0</v>
      </c>
      <c r="M90">
        <v>1.62</v>
      </c>
    </row>
    <row r="91" spans="1:13" x14ac:dyDescent="0.35">
      <c r="A91" t="s">
        <v>15</v>
      </c>
      <c r="B91">
        <v>10</v>
      </c>
      <c r="C91" t="s">
        <v>14</v>
      </c>
      <c r="D91">
        <v>256</v>
      </c>
      <c r="E91">
        <v>32</v>
      </c>
      <c r="F91">
        <v>43580</v>
      </c>
      <c r="G91" s="10">
        <v>305710</v>
      </c>
      <c r="H91" s="8">
        <v>0.14255340028131236</v>
      </c>
      <c r="I91" s="12">
        <v>0.69850999999999996</v>
      </c>
      <c r="J91">
        <v>140</v>
      </c>
      <c r="K91" s="12">
        <v>0.55714300000000005</v>
      </c>
      <c r="L91" s="12">
        <v>1.6249999999999999E-3</v>
      </c>
      <c r="M91">
        <v>1.79</v>
      </c>
    </row>
    <row r="92" spans="1:13" x14ac:dyDescent="0.35">
      <c r="A92" t="s">
        <v>16</v>
      </c>
      <c r="B92">
        <v>10</v>
      </c>
      <c r="C92" t="s">
        <v>14</v>
      </c>
      <c r="D92">
        <v>256</v>
      </c>
      <c r="E92">
        <v>32</v>
      </c>
      <c r="F92">
        <v>36372</v>
      </c>
      <c r="G92" s="10">
        <v>290464</v>
      </c>
      <c r="H92" s="8">
        <v>0.12522033711578714</v>
      </c>
      <c r="I92" s="12">
        <v>0.620479</v>
      </c>
      <c r="J92">
        <v>55</v>
      </c>
      <c r="K92" s="12">
        <v>0.96363600000000005</v>
      </c>
      <c r="L92" s="12">
        <v>1.8370000000000001E-3</v>
      </c>
      <c r="M92">
        <v>1.62</v>
      </c>
    </row>
    <row r="93" spans="1:13" x14ac:dyDescent="0.35">
      <c r="A93" t="s">
        <v>17</v>
      </c>
      <c r="B93">
        <v>10</v>
      </c>
      <c r="C93" t="s">
        <v>14</v>
      </c>
      <c r="D93">
        <v>256</v>
      </c>
      <c r="E93">
        <v>32</v>
      </c>
      <c r="F93">
        <v>33942</v>
      </c>
      <c r="G93" s="10">
        <v>452315</v>
      </c>
      <c r="H93" s="8">
        <v>7.5040624343654314E-2</v>
      </c>
      <c r="I93" s="12">
        <v>0.64472099999999999</v>
      </c>
      <c r="J93">
        <v>78</v>
      </c>
      <c r="K93" s="12">
        <v>0.57692299999999996</v>
      </c>
      <c r="L93" s="12">
        <v>1.1720000000000001E-3</v>
      </c>
      <c r="M93">
        <v>2.61</v>
      </c>
    </row>
    <row r="94" spans="1:13" x14ac:dyDescent="0.35">
      <c r="A94" t="s">
        <v>18</v>
      </c>
      <c r="B94">
        <v>10</v>
      </c>
      <c r="C94" t="s">
        <v>14</v>
      </c>
      <c r="D94">
        <v>256</v>
      </c>
      <c r="E94">
        <v>32</v>
      </c>
      <c r="F94">
        <v>46021</v>
      </c>
      <c r="G94" s="10">
        <v>284077</v>
      </c>
      <c r="H94" s="8">
        <v>0.16200185161065486</v>
      </c>
      <c r="I94" s="12">
        <v>0.69004200000000004</v>
      </c>
      <c r="J94">
        <v>1</v>
      </c>
      <c r="K94" s="12">
        <v>1</v>
      </c>
      <c r="L94" s="12">
        <v>2.0999999999999999E-5</v>
      </c>
      <c r="M94">
        <v>0.99</v>
      </c>
    </row>
    <row r="95" spans="1:13" x14ac:dyDescent="0.35">
      <c r="A95" t="s">
        <v>19</v>
      </c>
      <c r="B95">
        <v>10</v>
      </c>
      <c r="C95" t="s">
        <v>14</v>
      </c>
      <c r="D95">
        <v>256</v>
      </c>
      <c r="E95">
        <v>32</v>
      </c>
      <c r="F95">
        <v>43550</v>
      </c>
      <c r="G95" s="10">
        <v>249639</v>
      </c>
      <c r="H95" s="8">
        <v>0.1744519085559548</v>
      </c>
      <c r="I95" s="12">
        <v>0.65673599999999999</v>
      </c>
      <c r="J95">
        <v>226</v>
      </c>
      <c r="K95" s="12">
        <v>0.53982300000000005</v>
      </c>
      <c r="L95" s="12">
        <v>4.2360000000000002E-3</v>
      </c>
      <c r="M95">
        <v>1.61</v>
      </c>
    </row>
    <row r="96" spans="1:13" x14ac:dyDescent="0.35">
      <c r="A96" t="s">
        <v>20</v>
      </c>
      <c r="B96">
        <v>10</v>
      </c>
      <c r="C96" t="s">
        <v>14</v>
      </c>
      <c r="D96">
        <v>256</v>
      </c>
      <c r="E96">
        <v>32</v>
      </c>
      <c r="F96">
        <v>62077</v>
      </c>
      <c r="G96" s="10">
        <v>145439</v>
      </c>
      <c r="H96" s="8">
        <v>0.42682499192101153</v>
      </c>
      <c r="I96" s="12">
        <v>3.19E-4</v>
      </c>
      <c r="J96">
        <v>47</v>
      </c>
      <c r="K96" s="12">
        <v>0.170213</v>
      </c>
      <c r="L96" s="12">
        <v>0.34782600000000002</v>
      </c>
      <c r="M96">
        <v>0.96</v>
      </c>
    </row>
    <row r="97" spans="1:13" x14ac:dyDescent="0.35">
      <c r="A97" t="s">
        <v>21</v>
      </c>
      <c r="B97">
        <v>10</v>
      </c>
      <c r="C97" t="s">
        <v>14</v>
      </c>
      <c r="D97">
        <v>256</v>
      </c>
      <c r="E97">
        <v>32</v>
      </c>
      <c r="F97">
        <v>53190</v>
      </c>
      <c r="G97" s="10">
        <v>244825</v>
      </c>
      <c r="H97" s="8">
        <v>0.21725722454814664</v>
      </c>
      <c r="I97" s="12">
        <v>0.51066299999999998</v>
      </c>
      <c r="J97">
        <v>291</v>
      </c>
      <c r="K97" s="12">
        <v>0.57388300000000003</v>
      </c>
      <c r="L97" s="12">
        <v>4.9699999999999996E-3</v>
      </c>
      <c r="M97">
        <v>1.67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3"/>
  <sheetViews>
    <sheetView workbookViewId="0">
      <selection activeCell="N1" sqref="N1"/>
    </sheetView>
  </sheetViews>
  <sheetFormatPr defaultRowHeight="14.5" x14ac:dyDescent="0.35"/>
  <cols>
    <col min="1" max="1" width="6.1796875" bestFit="1" customWidth="1"/>
    <col min="2" max="2" width="8.81640625" bestFit="1" customWidth="1"/>
    <col min="3" max="3" width="8.90625" bestFit="1" customWidth="1"/>
    <col min="4" max="4" width="16.7265625" bestFit="1" customWidth="1"/>
    <col min="5" max="5" width="19.90625" bestFit="1" customWidth="1"/>
    <col min="6" max="6" width="10.90625" bestFit="1" customWidth="1"/>
    <col min="7" max="7" width="6.81640625" style="10" bestFit="1" customWidth="1"/>
    <col min="8" max="8" width="5.36328125" style="8" bestFit="1" customWidth="1"/>
    <col min="9" max="9" width="12.1796875" style="12" bestFit="1" customWidth="1"/>
    <col min="10" max="10" width="6.36328125" style="12" bestFit="1" customWidth="1"/>
    <col min="11" max="11" width="8.54296875" style="12" bestFit="1" customWidth="1"/>
    <col min="12" max="12" width="8.54296875" bestFit="1" customWidth="1"/>
    <col min="13" max="13" width="16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31</v>
      </c>
      <c r="E1" s="1" t="s">
        <v>54</v>
      </c>
      <c r="F1" s="1" t="s">
        <v>5</v>
      </c>
      <c r="G1" s="9" t="s">
        <v>6</v>
      </c>
      <c r="H1" s="7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" t="s">
        <v>12</v>
      </c>
    </row>
    <row r="2" spans="1:13" x14ac:dyDescent="0.35">
      <c r="A2" t="s">
        <v>13</v>
      </c>
      <c r="B2">
        <v>1</v>
      </c>
      <c r="C2" t="s">
        <v>14</v>
      </c>
      <c r="D2" t="s">
        <v>83</v>
      </c>
      <c r="E2">
        <v>256</v>
      </c>
      <c r="F2">
        <v>5058</v>
      </c>
      <c r="G2" s="10">
        <v>30101</v>
      </c>
      <c r="H2" s="8">
        <f t="array" ref="H2:H73">F2:F73 / G2:G73</f>
        <v>0.16803428457526329</v>
      </c>
      <c r="I2" s="12">
        <v>0.62812500000000004</v>
      </c>
      <c r="J2">
        <v>4741</v>
      </c>
      <c r="K2" s="12">
        <v>6.3280000000000003E-3</v>
      </c>
      <c r="L2" s="12">
        <v>1.0437999999999999E-2</v>
      </c>
      <c r="M2">
        <v>0.85</v>
      </c>
    </row>
    <row r="3" spans="1:13" x14ac:dyDescent="0.35">
      <c r="A3" t="s">
        <v>15</v>
      </c>
      <c r="B3">
        <v>1</v>
      </c>
      <c r="C3" t="s">
        <v>14</v>
      </c>
      <c r="D3" t="s">
        <v>83</v>
      </c>
      <c r="E3">
        <v>256</v>
      </c>
      <c r="F3">
        <v>4417</v>
      </c>
      <c r="G3" s="10">
        <v>30745</v>
      </c>
      <c r="H3" s="8">
        <v>0.14366563668889251</v>
      </c>
      <c r="I3" s="12">
        <v>0.69885399999999998</v>
      </c>
      <c r="J3">
        <v>5425</v>
      </c>
      <c r="K3" s="12">
        <v>0</v>
      </c>
      <c r="L3" s="12">
        <v>0</v>
      </c>
      <c r="M3">
        <v>0.75</v>
      </c>
    </row>
    <row r="4" spans="1:13" x14ac:dyDescent="0.35">
      <c r="A4" t="s">
        <v>16</v>
      </c>
      <c r="B4">
        <v>1</v>
      </c>
      <c r="C4" t="s">
        <v>14</v>
      </c>
      <c r="D4" t="s">
        <v>83</v>
      </c>
      <c r="E4">
        <v>256</v>
      </c>
      <c r="F4">
        <v>3696</v>
      </c>
      <c r="G4" s="10">
        <v>29235</v>
      </c>
      <c r="H4" s="8">
        <v>0.12642380708055412</v>
      </c>
      <c r="I4" s="12">
        <v>0.62368400000000002</v>
      </c>
      <c r="J4">
        <v>5129</v>
      </c>
      <c r="K4" s="12">
        <v>0</v>
      </c>
      <c r="L4" s="12">
        <v>0</v>
      </c>
      <c r="M4">
        <v>0.65</v>
      </c>
    </row>
    <row r="5" spans="1:13" x14ac:dyDescent="0.35">
      <c r="A5" t="s">
        <v>17</v>
      </c>
      <c r="B5">
        <v>1</v>
      </c>
      <c r="C5" t="s">
        <v>14</v>
      </c>
      <c r="D5" t="s">
        <v>83</v>
      </c>
      <c r="E5">
        <v>256</v>
      </c>
      <c r="F5">
        <v>3455</v>
      </c>
      <c r="G5" s="10">
        <v>45463</v>
      </c>
      <c r="H5" s="8">
        <v>7.5995864769152932E-2</v>
      </c>
      <c r="I5" s="12">
        <v>0.64485300000000001</v>
      </c>
      <c r="J5">
        <v>9599</v>
      </c>
      <c r="K5" s="12">
        <v>0</v>
      </c>
      <c r="L5" s="12">
        <v>0</v>
      </c>
      <c r="M5">
        <v>1.2</v>
      </c>
    </row>
    <row r="6" spans="1:13" x14ac:dyDescent="0.35">
      <c r="A6" t="s">
        <v>18</v>
      </c>
      <c r="B6">
        <v>1</v>
      </c>
      <c r="C6" t="s">
        <v>14</v>
      </c>
      <c r="D6" t="s">
        <v>83</v>
      </c>
      <c r="E6">
        <v>256</v>
      </c>
      <c r="F6">
        <v>4673</v>
      </c>
      <c r="G6" s="10">
        <v>28681</v>
      </c>
      <c r="H6" s="8">
        <v>0.16293016282556397</v>
      </c>
      <c r="I6" s="12">
        <v>0.671875</v>
      </c>
      <c r="J6">
        <v>5277</v>
      </c>
      <c r="K6" s="12">
        <v>5.875E-3</v>
      </c>
      <c r="L6" s="12">
        <v>6.4580000000000002E-3</v>
      </c>
      <c r="M6">
        <v>0.86</v>
      </c>
    </row>
    <row r="7" spans="1:13" x14ac:dyDescent="0.35">
      <c r="A7" t="s">
        <v>19</v>
      </c>
      <c r="B7">
        <v>1</v>
      </c>
      <c r="C7" t="s">
        <v>14</v>
      </c>
      <c r="D7" t="s">
        <v>83</v>
      </c>
      <c r="E7">
        <v>256</v>
      </c>
      <c r="F7">
        <v>4414</v>
      </c>
      <c r="G7" s="10">
        <v>25145</v>
      </c>
      <c r="H7" s="8">
        <v>0.17554185722807716</v>
      </c>
      <c r="I7" s="12">
        <v>0.65839099999999995</v>
      </c>
      <c r="J7">
        <v>5059</v>
      </c>
      <c r="K7" s="12">
        <v>0</v>
      </c>
      <c r="L7" s="12">
        <v>0</v>
      </c>
      <c r="M7">
        <v>0.64</v>
      </c>
    </row>
    <row r="8" spans="1:13" x14ac:dyDescent="0.35">
      <c r="A8" t="s">
        <v>20</v>
      </c>
      <c r="B8">
        <v>1</v>
      </c>
      <c r="C8" t="s">
        <v>14</v>
      </c>
      <c r="D8" t="s">
        <v>83</v>
      </c>
      <c r="E8">
        <v>256</v>
      </c>
      <c r="F8">
        <v>6277</v>
      </c>
      <c r="G8" s="10">
        <v>14865</v>
      </c>
      <c r="H8" s="8">
        <v>0.42226707029936089</v>
      </c>
      <c r="I8" s="12">
        <v>6.8060000000000004E-3</v>
      </c>
      <c r="J8">
        <v>41</v>
      </c>
      <c r="K8" s="12">
        <v>0</v>
      </c>
      <c r="L8" s="12">
        <v>0</v>
      </c>
      <c r="M8">
        <v>0.16</v>
      </c>
    </row>
    <row r="9" spans="1:13" x14ac:dyDescent="0.35">
      <c r="A9" t="s">
        <v>21</v>
      </c>
      <c r="B9">
        <v>1</v>
      </c>
      <c r="C9" t="s">
        <v>14</v>
      </c>
      <c r="D9" t="s">
        <v>83</v>
      </c>
      <c r="E9">
        <v>256</v>
      </c>
      <c r="F9">
        <v>5379</v>
      </c>
      <c r="G9" s="10">
        <v>24780</v>
      </c>
      <c r="H9" s="8">
        <v>0.21707021791767556</v>
      </c>
      <c r="I9" s="12">
        <v>0.51293900000000003</v>
      </c>
      <c r="J9">
        <v>2911</v>
      </c>
      <c r="K9" s="12">
        <v>0</v>
      </c>
      <c r="L9" s="12">
        <v>0</v>
      </c>
      <c r="M9">
        <v>0.82</v>
      </c>
    </row>
    <row r="10" spans="1:13" x14ac:dyDescent="0.35">
      <c r="A10" t="s">
        <v>13</v>
      </c>
      <c r="B10">
        <v>1</v>
      </c>
      <c r="C10" t="s">
        <v>14</v>
      </c>
      <c r="D10" t="s">
        <v>84</v>
      </c>
      <c r="E10">
        <v>256</v>
      </c>
      <c r="F10">
        <v>5058</v>
      </c>
      <c r="G10" s="10">
        <v>31549</v>
      </c>
      <c r="H10" s="8">
        <v>0.16032203873339884</v>
      </c>
      <c r="I10" s="12">
        <v>0.63333300000000003</v>
      </c>
      <c r="J10">
        <v>4765</v>
      </c>
      <c r="K10" s="12">
        <v>3.1480000000000002E-3</v>
      </c>
      <c r="L10" s="12">
        <v>5.2139999999999999E-3</v>
      </c>
      <c r="M10">
        <v>1.69</v>
      </c>
    </row>
    <row r="11" spans="1:13" x14ac:dyDescent="0.35">
      <c r="A11" t="s">
        <v>15</v>
      </c>
      <c r="B11">
        <v>1</v>
      </c>
      <c r="C11" t="s">
        <v>14</v>
      </c>
      <c r="D11" t="s">
        <v>84</v>
      </c>
      <c r="E11">
        <v>256</v>
      </c>
      <c r="F11">
        <v>4417</v>
      </c>
      <c r="G11" s="10">
        <v>30745</v>
      </c>
      <c r="H11" s="8">
        <v>0.14366563668889251</v>
      </c>
      <c r="I11" s="12">
        <v>0.69885399999999998</v>
      </c>
      <c r="J11">
        <v>5362</v>
      </c>
      <c r="K11" s="12">
        <v>0</v>
      </c>
      <c r="L11" s="12">
        <v>0</v>
      </c>
      <c r="M11">
        <v>0.78</v>
      </c>
    </row>
    <row r="12" spans="1:13" x14ac:dyDescent="0.35">
      <c r="A12" t="s">
        <v>16</v>
      </c>
      <c r="B12">
        <v>1</v>
      </c>
      <c r="C12" t="s">
        <v>14</v>
      </c>
      <c r="D12" t="s">
        <v>84</v>
      </c>
      <c r="E12">
        <v>256</v>
      </c>
      <c r="F12">
        <v>3696</v>
      </c>
      <c r="G12" s="10">
        <v>29234</v>
      </c>
      <c r="H12" s="8">
        <v>0.12642813162755695</v>
      </c>
      <c r="I12" s="12">
        <v>0.62368400000000002</v>
      </c>
      <c r="J12">
        <v>5097</v>
      </c>
      <c r="K12" s="12">
        <v>0</v>
      </c>
      <c r="L12" s="12">
        <v>0</v>
      </c>
      <c r="M12">
        <v>0.69</v>
      </c>
    </row>
    <row r="13" spans="1:13" x14ac:dyDescent="0.35">
      <c r="A13" t="s">
        <v>17</v>
      </c>
      <c r="B13">
        <v>1</v>
      </c>
      <c r="C13" t="s">
        <v>14</v>
      </c>
      <c r="D13" t="s">
        <v>84</v>
      </c>
      <c r="E13">
        <v>256</v>
      </c>
      <c r="F13">
        <v>3455</v>
      </c>
      <c r="G13" s="10">
        <v>45463</v>
      </c>
      <c r="H13" s="8">
        <v>7.5995864769152932E-2</v>
      </c>
      <c r="I13" s="12">
        <v>0.64485300000000001</v>
      </c>
      <c r="J13">
        <v>9563</v>
      </c>
      <c r="K13" s="12">
        <v>0</v>
      </c>
      <c r="L13" s="12">
        <v>0</v>
      </c>
      <c r="M13">
        <v>1.21</v>
      </c>
    </row>
    <row r="14" spans="1:13" x14ac:dyDescent="0.35">
      <c r="A14" t="s">
        <v>18</v>
      </c>
      <c r="B14">
        <v>1</v>
      </c>
      <c r="C14" t="s">
        <v>14</v>
      </c>
      <c r="D14" t="s">
        <v>84</v>
      </c>
      <c r="E14">
        <v>256</v>
      </c>
      <c r="F14">
        <v>4673</v>
      </c>
      <c r="G14" s="10">
        <v>28657</v>
      </c>
      <c r="H14" s="8">
        <v>0.16306661548661758</v>
      </c>
      <c r="I14" s="12">
        <v>0.68098999999999998</v>
      </c>
      <c r="J14">
        <v>5265</v>
      </c>
      <c r="K14" s="12">
        <v>2.849E-3</v>
      </c>
      <c r="L14" s="12">
        <v>3.1250000000000002E-3</v>
      </c>
      <c r="M14">
        <v>0.96</v>
      </c>
    </row>
    <row r="15" spans="1:13" x14ac:dyDescent="0.35">
      <c r="A15" t="s">
        <v>19</v>
      </c>
      <c r="B15">
        <v>1</v>
      </c>
      <c r="C15" t="s">
        <v>14</v>
      </c>
      <c r="D15" t="s">
        <v>84</v>
      </c>
      <c r="E15">
        <v>256</v>
      </c>
      <c r="F15">
        <v>4414</v>
      </c>
      <c r="G15" s="10">
        <v>25145</v>
      </c>
      <c r="H15" s="8">
        <v>0.17554185722807716</v>
      </c>
      <c r="I15" s="12">
        <v>0.65839099999999995</v>
      </c>
      <c r="J15">
        <v>5026</v>
      </c>
      <c r="K15" s="12">
        <v>0</v>
      </c>
      <c r="L15" s="12">
        <v>0</v>
      </c>
      <c r="M15">
        <v>0.89</v>
      </c>
    </row>
    <row r="16" spans="1:13" x14ac:dyDescent="0.35">
      <c r="A16" t="s">
        <v>20</v>
      </c>
      <c r="B16">
        <v>1</v>
      </c>
      <c r="C16" t="s">
        <v>14</v>
      </c>
      <c r="D16" t="s">
        <v>84</v>
      </c>
      <c r="E16">
        <v>256</v>
      </c>
      <c r="F16">
        <v>6277</v>
      </c>
      <c r="G16" s="10">
        <v>14865</v>
      </c>
      <c r="H16" s="8">
        <v>0.42226707029936089</v>
      </c>
      <c r="I16" s="12">
        <v>6.8060000000000004E-3</v>
      </c>
      <c r="J16">
        <v>40</v>
      </c>
      <c r="K16" s="12">
        <v>0</v>
      </c>
      <c r="L16" s="12">
        <v>0</v>
      </c>
      <c r="M16">
        <v>0.17</v>
      </c>
    </row>
    <row r="17" spans="1:13" x14ac:dyDescent="0.35">
      <c r="A17" t="s">
        <v>21</v>
      </c>
      <c r="B17">
        <v>1</v>
      </c>
      <c r="C17" t="s">
        <v>14</v>
      </c>
      <c r="D17" t="s">
        <v>84</v>
      </c>
      <c r="E17">
        <v>256</v>
      </c>
      <c r="F17">
        <v>5379</v>
      </c>
      <c r="G17" s="10">
        <v>24780</v>
      </c>
      <c r="H17" s="8">
        <v>0.21707021791767556</v>
      </c>
      <c r="I17" s="12">
        <v>0.51293900000000003</v>
      </c>
      <c r="J17">
        <v>2866</v>
      </c>
      <c r="K17" s="12">
        <v>0</v>
      </c>
      <c r="L17" s="12">
        <v>0</v>
      </c>
      <c r="M17">
        <v>0.76</v>
      </c>
    </row>
    <row r="18" spans="1:13" x14ac:dyDescent="0.35">
      <c r="A18" t="s">
        <v>13</v>
      </c>
      <c r="B18">
        <v>1</v>
      </c>
      <c r="C18" t="s">
        <v>14</v>
      </c>
      <c r="D18" t="s">
        <v>83</v>
      </c>
      <c r="E18">
        <v>512</v>
      </c>
      <c r="F18">
        <v>5058</v>
      </c>
      <c r="G18" s="10">
        <v>30101</v>
      </c>
      <c r="H18" s="8">
        <v>0.16803428457526329</v>
      </c>
      <c r="I18" s="12">
        <v>0.62812500000000004</v>
      </c>
      <c r="J18">
        <v>4852</v>
      </c>
      <c r="K18" s="12">
        <v>6.1830000000000001E-3</v>
      </c>
      <c r="L18" s="12">
        <v>1.0437999999999999E-2</v>
      </c>
      <c r="M18">
        <v>0.99</v>
      </c>
    </row>
    <row r="19" spans="1:13" x14ac:dyDescent="0.35">
      <c r="A19" t="s">
        <v>15</v>
      </c>
      <c r="B19">
        <v>1</v>
      </c>
      <c r="C19" t="s">
        <v>14</v>
      </c>
      <c r="D19" t="s">
        <v>83</v>
      </c>
      <c r="E19">
        <v>512</v>
      </c>
      <c r="F19">
        <v>4417</v>
      </c>
      <c r="G19" s="10">
        <v>30745</v>
      </c>
      <c r="H19" s="8">
        <v>0.14366563668889251</v>
      </c>
      <c r="I19" s="12">
        <v>0.69885399999999998</v>
      </c>
      <c r="J19">
        <v>5425</v>
      </c>
      <c r="K19" s="12">
        <v>0</v>
      </c>
      <c r="L19" s="12">
        <v>0</v>
      </c>
      <c r="M19">
        <v>0.83</v>
      </c>
    </row>
    <row r="20" spans="1:13" x14ac:dyDescent="0.35">
      <c r="A20" t="s">
        <v>16</v>
      </c>
      <c r="B20">
        <v>1</v>
      </c>
      <c r="C20" t="s">
        <v>14</v>
      </c>
      <c r="D20" t="s">
        <v>83</v>
      </c>
      <c r="E20">
        <v>512</v>
      </c>
      <c r="F20">
        <v>3696</v>
      </c>
      <c r="G20" s="10">
        <v>29235</v>
      </c>
      <c r="H20" s="8">
        <v>0.12642380708055412</v>
      </c>
      <c r="I20" s="12">
        <v>0.62368400000000002</v>
      </c>
      <c r="J20">
        <v>5129</v>
      </c>
      <c r="K20" s="12">
        <v>0</v>
      </c>
      <c r="L20" s="12">
        <v>0</v>
      </c>
      <c r="M20">
        <v>0.72</v>
      </c>
    </row>
    <row r="21" spans="1:13" x14ac:dyDescent="0.35">
      <c r="A21" t="s">
        <v>17</v>
      </c>
      <c r="B21">
        <v>1</v>
      </c>
      <c r="C21" t="s">
        <v>14</v>
      </c>
      <c r="D21" t="s">
        <v>83</v>
      </c>
      <c r="E21">
        <v>512</v>
      </c>
      <c r="F21">
        <v>3455</v>
      </c>
      <c r="G21" s="10">
        <v>45463</v>
      </c>
      <c r="H21" s="8">
        <v>7.5995864769152932E-2</v>
      </c>
      <c r="I21" s="12">
        <v>0.64485300000000001</v>
      </c>
      <c r="J21">
        <v>9599</v>
      </c>
      <c r="K21" s="12">
        <v>0</v>
      </c>
      <c r="L21" s="12">
        <v>0</v>
      </c>
      <c r="M21">
        <v>1.31</v>
      </c>
    </row>
    <row r="22" spans="1:13" x14ac:dyDescent="0.35">
      <c r="A22" t="s">
        <v>18</v>
      </c>
      <c r="B22">
        <v>1</v>
      </c>
      <c r="C22" t="s">
        <v>14</v>
      </c>
      <c r="D22" t="s">
        <v>83</v>
      </c>
      <c r="E22">
        <v>512</v>
      </c>
      <c r="F22">
        <v>4673</v>
      </c>
      <c r="G22" s="10">
        <v>28681</v>
      </c>
      <c r="H22" s="8">
        <v>0.16293016282556397</v>
      </c>
      <c r="I22" s="12">
        <v>0.671875</v>
      </c>
      <c r="J22">
        <v>5277</v>
      </c>
      <c r="K22" s="12">
        <v>5.875E-3</v>
      </c>
      <c r="L22" s="12">
        <v>6.4580000000000002E-3</v>
      </c>
      <c r="M22">
        <v>0.94</v>
      </c>
    </row>
    <row r="23" spans="1:13" x14ac:dyDescent="0.35">
      <c r="A23" t="s">
        <v>19</v>
      </c>
      <c r="B23">
        <v>1</v>
      </c>
      <c r="C23" t="s">
        <v>14</v>
      </c>
      <c r="D23" t="s">
        <v>83</v>
      </c>
      <c r="E23">
        <v>512</v>
      </c>
      <c r="F23">
        <v>4414</v>
      </c>
      <c r="G23" s="10">
        <v>25145</v>
      </c>
      <c r="H23" s="8">
        <v>0.17554185722807716</v>
      </c>
      <c r="I23" s="12">
        <v>0.65839099999999995</v>
      </c>
      <c r="J23">
        <v>5059</v>
      </c>
      <c r="K23" s="12">
        <v>0</v>
      </c>
      <c r="L23" s="12">
        <v>0</v>
      </c>
      <c r="M23">
        <v>0.71</v>
      </c>
    </row>
    <row r="24" spans="1:13" x14ac:dyDescent="0.35">
      <c r="A24" t="s">
        <v>20</v>
      </c>
      <c r="B24">
        <v>1</v>
      </c>
      <c r="C24" t="s">
        <v>14</v>
      </c>
      <c r="D24" t="s">
        <v>83</v>
      </c>
      <c r="E24">
        <v>512</v>
      </c>
      <c r="F24">
        <v>6277</v>
      </c>
      <c r="G24" s="10">
        <v>14865</v>
      </c>
      <c r="H24" s="8">
        <v>0.42226707029936089</v>
      </c>
      <c r="I24" s="12">
        <v>6.8060000000000004E-3</v>
      </c>
      <c r="J24">
        <v>41</v>
      </c>
      <c r="K24" s="12">
        <v>0</v>
      </c>
      <c r="L24" s="12">
        <v>0</v>
      </c>
      <c r="M24">
        <v>0.19</v>
      </c>
    </row>
    <row r="25" spans="1:13" x14ac:dyDescent="0.35">
      <c r="A25" t="s">
        <v>21</v>
      </c>
      <c r="B25">
        <v>1</v>
      </c>
      <c r="C25" t="s">
        <v>14</v>
      </c>
      <c r="D25" t="s">
        <v>83</v>
      </c>
      <c r="E25">
        <v>512</v>
      </c>
      <c r="F25">
        <v>5379</v>
      </c>
      <c r="G25" s="10">
        <v>24780</v>
      </c>
      <c r="H25" s="8">
        <v>0.21707021791767556</v>
      </c>
      <c r="I25" s="12">
        <v>0.51293900000000003</v>
      </c>
      <c r="J25">
        <v>2911</v>
      </c>
      <c r="K25" s="12">
        <v>0</v>
      </c>
      <c r="L25" s="12">
        <v>0</v>
      </c>
      <c r="M25">
        <v>0.95</v>
      </c>
    </row>
    <row r="26" spans="1:13" x14ac:dyDescent="0.35">
      <c r="A26" t="s">
        <v>13</v>
      </c>
      <c r="B26">
        <v>5</v>
      </c>
      <c r="C26" t="s">
        <v>14</v>
      </c>
      <c r="D26" t="s">
        <v>83</v>
      </c>
      <c r="E26">
        <v>256</v>
      </c>
      <c r="F26">
        <v>24798</v>
      </c>
      <c r="G26" s="10">
        <v>114320</v>
      </c>
      <c r="H26" s="8">
        <v>0.21691742477256823</v>
      </c>
      <c r="I26" s="12">
        <v>0.61734599999999995</v>
      </c>
      <c r="J26">
        <v>21559</v>
      </c>
      <c r="K26" s="12">
        <v>6.9579999999999998E-3</v>
      </c>
      <c r="L26" s="12">
        <v>1.0407E-2</v>
      </c>
      <c r="M26">
        <v>3.47</v>
      </c>
    </row>
    <row r="27" spans="1:13" x14ac:dyDescent="0.35">
      <c r="A27" t="s">
        <v>15</v>
      </c>
      <c r="B27">
        <v>5</v>
      </c>
      <c r="C27" t="s">
        <v>14</v>
      </c>
      <c r="D27" t="s">
        <v>83</v>
      </c>
      <c r="E27">
        <v>256</v>
      </c>
      <c r="F27">
        <v>21825</v>
      </c>
      <c r="G27" s="10">
        <v>152998</v>
      </c>
      <c r="H27" s="8">
        <v>0.14264892351534006</v>
      </c>
      <c r="I27" s="12">
        <v>0.69887500000000002</v>
      </c>
      <c r="J27">
        <v>27149</v>
      </c>
      <c r="K27" s="12">
        <v>0</v>
      </c>
      <c r="L27" s="12">
        <v>0</v>
      </c>
      <c r="M27">
        <v>3.68</v>
      </c>
    </row>
    <row r="28" spans="1:13" x14ac:dyDescent="0.35">
      <c r="A28" t="s">
        <v>16</v>
      </c>
      <c r="B28">
        <v>5</v>
      </c>
      <c r="C28" t="s">
        <v>14</v>
      </c>
      <c r="D28" t="s">
        <v>83</v>
      </c>
      <c r="E28">
        <v>256</v>
      </c>
      <c r="F28">
        <v>18222</v>
      </c>
      <c r="G28" s="10">
        <v>145506</v>
      </c>
      <c r="H28" s="8">
        <v>0.1252319491979712</v>
      </c>
      <c r="I28" s="12">
        <v>0.62331599999999998</v>
      </c>
      <c r="J28">
        <v>25655</v>
      </c>
      <c r="K28" s="12">
        <v>0</v>
      </c>
      <c r="L28" s="12">
        <v>0</v>
      </c>
      <c r="M28">
        <v>3.61</v>
      </c>
    </row>
    <row r="29" spans="1:13" x14ac:dyDescent="0.35">
      <c r="A29" t="s">
        <v>17</v>
      </c>
      <c r="B29">
        <v>5</v>
      </c>
      <c r="C29" t="s">
        <v>14</v>
      </c>
      <c r="D29" t="s">
        <v>83</v>
      </c>
      <c r="E29">
        <v>256</v>
      </c>
      <c r="F29">
        <v>17007</v>
      </c>
      <c r="G29" s="10">
        <v>226319</v>
      </c>
      <c r="H29" s="8">
        <v>7.5146143275641897E-2</v>
      </c>
      <c r="I29" s="12">
        <v>0.644841</v>
      </c>
      <c r="J29">
        <v>47999</v>
      </c>
      <c r="K29" s="12">
        <v>0</v>
      </c>
      <c r="L29" s="12">
        <v>0</v>
      </c>
      <c r="M29">
        <v>5.45</v>
      </c>
    </row>
    <row r="30" spans="1:13" x14ac:dyDescent="0.35">
      <c r="A30" t="s">
        <v>18</v>
      </c>
      <c r="B30">
        <v>5</v>
      </c>
      <c r="C30" t="s">
        <v>14</v>
      </c>
      <c r="D30" t="s">
        <v>83</v>
      </c>
      <c r="E30">
        <v>256</v>
      </c>
      <c r="F30">
        <v>23056</v>
      </c>
      <c r="G30" s="10">
        <v>142460</v>
      </c>
      <c r="H30" s="8">
        <v>0.16184192053909868</v>
      </c>
      <c r="I30" s="12">
        <v>0.67186500000000005</v>
      </c>
      <c r="J30">
        <v>26568</v>
      </c>
      <c r="K30" s="12">
        <v>5.8339999999999998E-3</v>
      </c>
      <c r="L30" s="12">
        <v>6.4580000000000002E-3</v>
      </c>
      <c r="M30">
        <v>3.62</v>
      </c>
    </row>
    <row r="31" spans="1:13" x14ac:dyDescent="0.35">
      <c r="A31" t="s">
        <v>19</v>
      </c>
      <c r="B31">
        <v>5</v>
      </c>
      <c r="C31" t="s">
        <v>14</v>
      </c>
      <c r="D31" t="s">
        <v>83</v>
      </c>
      <c r="E31">
        <v>256</v>
      </c>
      <c r="F31">
        <v>21810</v>
      </c>
      <c r="G31" s="10">
        <v>124965</v>
      </c>
      <c r="H31" s="8">
        <v>0.17452886808306325</v>
      </c>
      <c r="I31" s="12">
        <v>0.65839099999999995</v>
      </c>
      <c r="J31">
        <v>25295</v>
      </c>
      <c r="K31" s="12">
        <v>0</v>
      </c>
      <c r="L31" s="12">
        <v>0</v>
      </c>
      <c r="M31">
        <v>5.67</v>
      </c>
    </row>
    <row r="32" spans="1:13" x14ac:dyDescent="0.35">
      <c r="A32" t="s">
        <v>20</v>
      </c>
      <c r="B32">
        <v>5</v>
      </c>
      <c r="C32" t="s">
        <v>14</v>
      </c>
      <c r="D32" t="s">
        <v>83</v>
      </c>
      <c r="E32">
        <v>256</v>
      </c>
      <c r="F32">
        <v>31077</v>
      </c>
      <c r="G32" s="10">
        <v>73092</v>
      </c>
      <c r="H32" s="8">
        <v>0.42517648990313578</v>
      </c>
      <c r="I32" s="12">
        <v>1.361E-3</v>
      </c>
      <c r="J32">
        <v>42</v>
      </c>
      <c r="K32" s="12">
        <v>0</v>
      </c>
      <c r="L32" s="12">
        <v>0</v>
      </c>
      <c r="M32">
        <v>1.01</v>
      </c>
    </row>
    <row r="33" spans="1:13" x14ac:dyDescent="0.35">
      <c r="A33" t="s">
        <v>21</v>
      </c>
      <c r="B33">
        <v>5</v>
      </c>
      <c r="C33" t="s">
        <v>14</v>
      </c>
      <c r="D33" t="s">
        <v>83</v>
      </c>
      <c r="E33">
        <v>256</v>
      </c>
      <c r="F33">
        <v>26630</v>
      </c>
      <c r="G33" s="10">
        <v>122750</v>
      </c>
      <c r="H33" s="8">
        <v>0.2169450101832994</v>
      </c>
      <c r="I33" s="12">
        <v>0.51299300000000003</v>
      </c>
      <c r="J33">
        <v>14577</v>
      </c>
      <c r="K33" s="12">
        <v>0</v>
      </c>
      <c r="L33" s="12">
        <v>0</v>
      </c>
      <c r="M33">
        <v>4.6900000000000004</v>
      </c>
    </row>
    <row r="34" spans="1:13" x14ac:dyDescent="0.35">
      <c r="A34" t="s">
        <v>13</v>
      </c>
      <c r="B34">
        <v>5</v>
      </c>
      <c r="C34" t="s">
        <v>14</v>
      </c>
      <c r="D34" t="s">
        <v>84</v>
      </c>
      <c r="E34">
        <v>256</v>
      </c>
      <c r="F34">
        <v>24798</v>
      </c>
      <c r="G34" s="10">
        <v>114227</v>
      </c>
      <c r="H34" s="8">
        <v>0.21709403205897029</v>
      </c>
      <c r="I34" s="12">
        <v>0.62099499999999996</v>
      </c>
      <c r="J34">
        <v>21262</v>
      </c>
      <c r="K34" s="12">
        <v>3.5270000000000002E-3</v>
      </c>
      <c r="L34" s="12">
        <v>5.202E-3</v>
      </c>
      <c r="M34">
        <v>6.24</v>
      </c>
    </row>
    <row r="35" spans="1:13" x14ac:dyDescent="0.35">
      <c r="A35" t="s">
        <v>15</v>
      </c>
      <c r="B35">
        <v>5</v>
      </c>
      <c r="C35" t="s">
        <v>14</v>
      </c>
      <c r="D35" t="s">
        <v>84</v>
      </c>
      <c r="E35">
        <v>256</v>
      </c>
      <c r="F35">
        <v>21825</v>
      </c>
      <c r="G35" s="10">
        <v>152998</v>
      </c>
      <c r="H35" s="8">
        <v>0.14264892351534006</v>
      </c>
      <c r="I35" s="12">
        <v>0.69887500000000002</v>
      </c>
      <c r="J35">
        <v>26838</v>
      </c>
      <c r="K35" s="12">
        <v>0</v>
      </c>
      <c r="L35" s="12">
        <v>0</v>
      </c>
      <c r="M35">
        <v>3.06</v>
      </c>
    </row>
    <row r="36" spans="1:13" x14ac:dyDescent="0.35">
      <c r="A36" t="s">
        <v>16</v>
      </c>
      <c r="B36">
        <v>5</v>
      </c>
      <c r="C36" t="s">
        <v>14</v>
      </c>
      <c r="D36" t="s">
        <v>84</v>
      </c>
      <c r="E36">
        <v>256</v>
      </c>
      <c r="F36">
        <v>18222</v>
      </c>
      <c r="G36" s="10">
        <v>145506</v>
      </c>
      <c r="H36" s="8">
        <v>0.1252319491979712</v>
      </c>
      <c r="I36" s="12">
        <v>0.62331599999999998</v>
      </c>
      <c r="J36">
        <v>25490</v>
      </c>
      <c r="K36" s="12">
        <v>0</v>
      </c>
      <c r="L36" s="12">
        <v>0</v>
      </c>
      <c r="M36">
        <v>2.6</v>
      </c>
    </row>
    <row r="37" spans="1:13" x14ac:dyDescent="0.35">
      <c r="A37" t="s">
        <v>17</v>
      </c>
      <c r="B37">
        <v>5</v>
      </c>
      <c r="C37" t="s">
        <v>14</v>
      </c>
      <c r="D37" t="s">
        <v>84</v>
      </c>
      <c r="E37">
        <v>256</v>
      </c>
      <c r="F37">
        <v>17007</v>
      </c>
      <c r="G37" s="10">
        <v>226319</v>
      </c>
      <c r="H37" s="8">
        <v>7.5146143275641897E-2</v>
      </c>
      <c r="I37" s="12">
        <v>0.644841</v>
      </c>
      <c r="J37">
        <v>47819</v>
      </c>
      <c r="K37" s="12">
        <v>0</v>
      </c>
      <c r="L37" s="12">
        <v>0</v>
      </c>
      <c r="M37">
        <v>5.14</v>
      </c>
    </row>
    <row r="38" spans="1:13" x14ac:dyDescent="0.35">
      <c r="A38" t="s">
        <v>18</v>
      </c>
      <c r="B38">
        <v>5</v>
      </c>
      <c r="C38" t="s">
        <v>14</v>
      </c>
      <c r="D38" t="s">
        <v>84</v>
      </c>
      <c r="E38">
        <v>256</v>
      </c>
      <c r="F38">
        <v>23056</v>
      </c>
      <c r="G38" s="10">
        <v>142338</v>
      </c>
      <c r="H38" s="8">
        <v>0.16198063763717349</v>
      </c>
      <c r="I38" s="12">
        <v>0.680979</v>
      </c>
      <c r="J38">
        <v>26443</v>
      </c>
      <c r="K38" s="12">
        <v>2.836E-3</v>
      </c>
      <c r="L38" s="12">
        <v>3.1250000000000002E-3</v>
      </c>
      <c r="M38">
        <v>3.46</v>
      </c>
    </row>
    <row r="39" spans="1:13" x14ac:dyDescent="0.35">
      <c r="A39" t="s">
        <v>19</v>
      </c>
      <c r="B39">
        <v>5</v>
      </c>
      <c r="C39" t="s">
        <v>14</v>
      </c>
      <c r="D39" t="s">
        <v>84</v>
      </c>
      <c r="E39">
        <v>256</v>
      </c>
      <c r="F39">
        <v>21810</v>
      </c>
      <c r="G39" s="10">
        <v>124965</v>
      </c>
      <c r="H39" s="8">
        <v>0.17452886808306325</v>
      </c>
      <c r="I39" s="12">
        <v>0.65839099999999995</v>
      </c>
      <c r="J39">
        <v>25130</v>
      </c>
      <c r="K39" s="12">
        <v>0</v>
      </c>
      <c r="L39" s="12">
        <v>0</v>
      </c>
      <c r="M39">
        <v>2.73</v>
      </c>
    </row>
    <row r="40" spans="1:13" x14ac:dyDescent="0.35">
      <c r="A40" t="s">
        <v>20</v>
      </c>
      <c r="B40">
        <v>5</v>
      </c>
      <c r="C40" t="s">
        <v>14</v>
      </c>
      <c r="D40" t="s">
        <v>84</v>
      </c>
      <c r="E40">
        <v>256</v>
      </c>
      <c r="F40">
        <v>31077</v>
      </c>
      <c r="G40" s="10">
        <v>72897</v>
      </c>
      <c r="H40" s="8">
        <v>0.42631384007572326</v>
      </c>
      <c r="I40" s="12">
        <v>1.361E-3</v>
      </c>
      <c r="J40">
        <v>41</v>
      </c>
      <c r="K40" s="12">
        <v>0</v>
      </c>
      <c r="L40" s="12">
        <v>0</v>
      </c>
      <c r="M40">
        <v>0.53</v>
      </c>
    </row>
    <row r="41" spans="1:13" x14ac:dyDescent="0.35">
      <c r="A41" t="s">
        <v>21</v>
      </c>
      <c r="B41">
        <v>5</v>
      </c>
      <c r="C41" t="s">
        <v>14</v>
      </c>
      <c r="D41" t="s">
        <v>84</v>
      </c>
      <c r="E41">
        <v>256</v>
      </c>
      <c r="F41">
        <v>26630</v>
      </c>
      <c r="G41" s="10">
        <v>122720</v>
      </c>
      <c r="H41" s="8">
        <v>0.2169980443285528</v>
      </c>
      <c r="I41" s="12">
        <v>0.51280700000000001</v>
      </c>
      <c r="J41">
        <v>14323</v>
      </c>
      <c r="K41" s="12">
        <v>0</v>
      </c>
      <c r="L41" s="12">
        <v>0</v>
      </c>
      <c r="M41">
        <v>1.68</v>
      </c>
    </row>
    <row r="42" spans="1:13" x14ac:dyDescent="0.35">
      <c r="A42" t="s">
        <v>13</v>
      </c>
      <c r="B42">
        <v>5</v>
      </c>
      <c r="C42" t="s">
        <v>14</v>
      </c>
      <c r="D42" t="s">
        <v>83</v>
      </c>
      <c r="E42">
        <v>512</v>
      </c>
      <c r="F42">
        <v>24798</v>
      </c>
      <c r="G42" s="10">
        <v>114320</v>
      </c>
      <c r="H42" s="8">
        <v>0.21691742477256823</v>
      </c>
      <c r="I42" s="12">
        <v>0.61734599999999995</v>
      </c>
      <c r="J42">
        <v>22144</v>
      </c>
      <c r="K42" s="12">
        <v>6.7739999999999996E-3</v>
      </c>
      <c r="L42" s="12">
        <v>1.0407E-2</v>
      </c>
      <c r="M42">
        <v>3.97</v>
      </c>
    </row>
    <row r="43" spans="1:13" x14ac:dyDescent="0.35">
      <c r="A43" t="s">
        <v>15</v>
      </c>
      <c r="B43">
        <v>5</v>
      </c>
      <c r="C43" t="s">
        <v>14</v>
      </c>
      <c r="D43" t="s">
        <v>83</v>
      </c>
      <c r="E43">
        <v>512</v>
      </c>
      <c r="F43">
        <v>21825</v>
      </c>
      <c r="G43" s="10">
        <v>152998</v>
      </c>
      <c r="H43" s="8">
        <v>0.14264892351534006</v>
      </c>
      <c r="I43" s="12">
        <v>0.69887500000000002</v>
      </c>
      <c r="J43">
        <v>27149</v>
      </c>
      <c r="K43" s="12">
        <v>0</v>
      </c>
      <c r="L43" s="12">
        <v>0</v>
      </c>
      <c r="M43">
        <v>3.95</v>
      </c>
    </row>
    <row r="44" spans="1:13" x14ac:dyDescent="0.35">
      <c r="A44" t="s">
        <v>16</v>
      </c>
      <c r="B44">
        <v>5</v>
      </c>
      <c r="C44" t="s">
        <v>14</v>
      </c>
      <c r="D44" t="s">
        <v>83</v>
      </c>
      <c r="E44">
        <v>512</v>
      </c>
      <c r="F44">
        <v>18222</v>
      </c>
      <c r="G44" s="10">
        <v>145506</v>
      </c>
      <c r="H44" s="8">
        <v>0.1252319491979712</v>
      </c>
      <c r="I44" s="12">
        <v>0.62331599999999998</v>
      </c>
      <c r="J44">
        <v>25655</v>
      </c>
      <c r="K44" s="12">
        <v>0</v>
      </c>
      <c r="L44" s="12">
        <v>0</v>
      </c>
      <c r="M44">
        <v>2.8</v>
      </c>
    </row>
    <row r="45" spans="1:13" x14ac:dyDescent="0.35">
      <c r="A45" t="s">
        <v>17</v>
      </c>
      <c r="B45">
        <v>5</v>
      </c>
      <c r="C45" t="s">
        <v>14</v>
      </c>
      <c r="D45" t="s">
        <v>83</v>
      </c>
      <c r="E45">
        <v>512</v>
      </c>
      <c r="F45">
        <v>17007</v>
      </c>
      <c r="G45" s="10">
        <v>226319</v>
      </c>
      <c r="H45" s="8">
        <v>7.5146143275641897E-2</v>
      </c>
      <c r="I45" s="12">
        <v>0.644841</v>
      </c>
      <c r="J45">
        <v>47999</v>
      </c>
      <c r="K45" s="12">
        <v>0</v>
      </c>
      <c r="L45" s="12">
        <v>0</v>
      </c>
      <c r="M45">
        <v>4.9400000000000004</v>
      </c>
    </row>
    <row r="46" spans="1:13" x14ac:dyDescent="0.35">
      <c r="A46" t="s">
        <v>18</v>
      </c>
      <c r="B46">
        <v>5</v>
      </c>
      <c r="C46" t="s">
        <v>14</v>
      </c>
      <c r="D46" t="s">
        <v>83</v>
      </c>
      <c r="E46">
        <v>512</v>
      </c>
      <c r="F46">
        <v>23056</v>
      </c>
      <c r="G46" s="10">
        <v>142460</v>
      </c>
      <c r="H46" s="8">
        <v>0.16184192053909868</v>
      </c>
      <c r="I46" s="12">
        <v>0.67186500000000005</v>
      </c>
      <c r="J46">
        <v>26568</v>
      </c>
      <c r="K46" s="12">
        <v>5.8339999999999998E-3</v>
      </c>
      <c r="L46" s="12">
        <v>6.4580000000000002E-3</v>
      </c>
      <c r="M46">
        <v>3.77</v>
      </c>
    </row>
    <row r="47" spans="1:13" x14ac:dyDescent="0.35">
      <c r="A47" t="s">
        <v>19</v>
      </c>
      <c r="B47">
        <v>5</v>
      </c>
      <c r="C47" t="s">
        <v>14</v>
      </c>
      <c r="D47" t="s">
        <v>83</v>
      </c>
      <c r="E47">
        <v>512</v>
      </c>
      <c r="F47">
        <v>21810</v>
      </c>
      <c r="G47" s="10">
        <v>124965</v>
      </c>
      <c r="H47" s="8">
        <v>0.17452886808306325</v>
      </c>
      <c r="I47" s="12">
        <v>0.65839099999999995</v>
      </c>
      <c r="J47">
        <v>25295</v>
      </c>
      <c r="K47" s="12">
        <v>0</v>
      </c>
      <c r="L47" s="12">
        <v>0</v>
      </c>
      <c r="M47">
        <v>2.86</v>
      </c>
    </row>
    <row r="48" spans="1:13" x14ac:dyDescent="0.35">
      <c r="A48" t="s">
        <v>20</v>
      </c>
      <c r="B48">
        <v>5</v>
      </c>
      <c r="C48" t="s">
        <v>14</v>
      </c>
      <c r="D48" t="s">
        <v>83</v>
      </c>
      <c r="E48">
        <v>512</v>
      </c>
      <c r="F48">
        <v>31077</v>
      </c>
      <c r="G48" s="10">
        <v>73092</v>
      </c>
      <c r="H48" s="8">
        <v>0.42517648990313578</v>
      </c>
      <c r="I48" s="12">
        <v>1.361E-3</v>
      </c>
      <c r="J48">
        <v>42</v>
      </c>
      <c r="K48" s="12">
        <v>0</v>
      </c>
      <c r="L48" s="12">
        <v>0</v>
      </c>
      <c r="M48">
        <v>0.56000000000000005</v>
      </c>
    </row>
    <row r="49" spans="1:13" x14ac:dyDescent="0.35">
      <c r="A49" t="s">
        <v>21</v>
      </c>
      <c r="B49">
        <v>5</v>
      </c>
      <c r="C49" t="s">
        <v>14</v>
      </c>
      <c r="D49" t="s">
        <v>83</v>
      </c>
      <c r="E49">
        <v>512</v>
      </c>
      <c r="F49">
        <v>26630</v>
      </c>
      <c r="G49" s="10">
        <v>122750</v>
      </c>
      <c r="H49" s="8">
        <v>0.2169450101832994</v>
      </c>
      <c r="I49" s="12">
        <v>0.51299300000000003</v>
      </c>
      <c r="J49">
        <v>14577</v>
      </c>
      <c r="K49" s="12">
        <v>0</v>
      </c>
      <c r="L49" s="12">
        <v>0</v>
      </c>
      <c r="M49">
        <v>3.72</v>
      </c>
    </row>
    <row r="50" spans="1:13" x14ac:dyDescent="0.35">
      <c r="A50" t="s">
        <v>13</v>
      </c>
      <c r="B50">
        <v>10</v>
      </c>
      <c r="C50" t="s">
        <v>14</v>
      </c>
      <c r="D50" t="s">
        <v>83</v>
      </c>
      <c r="E50">
        <v>256</v>
      </c>
      <c r="F50">
        <v>49513</v>
      </c>
      <c r="G50" s="10">
        <v>217634</v>
      </c>
      <c r="H50" s="8">
        <v>0.22750581251091281</v>
      </c>
      <c r="I50" s="12">
        <v>0.61391899999999999</v>
      </c>
      <c r="J50">
        <v>42131</v>
      </c>
      <c r="K50" s="12">
        <v>7.1209999999999997E-3</v>
      </c>
      <c r="L50" s="12">
        <v>1.0404E-2</v>
      </c>
      <c r="M50">
        <v>6.48</v>
      </c>
    </row>
    <row r="51" spans="1:13" x14ac:dyDescent="0.35">
      <c r="A51" t="s">
        <v>15</v>
      </c>
      <c r="B51">
        <v>10</v>
      </c>
      <c r="C51" t="s">
        <v>14</v>
      </c>
      <c r="D51" t="s">
        <v>83</v>
      </c>
      <c r="E51">
        <v>256</v>
      </c>
      <c r="F51">
        <v>43580</v>
      </c>
      <c r="G51" s="10">
        <v>305808</v>
      </c>
      <c r="H51" s="8">
        <v>0.14250771726050332</v>
      </c>
      <c r="I51" s="12">
        <v>0.69886499999999996</v>
      </c>
      <c r="J51">
        <v>54312</v>
      </c>
      <c r="K51" s="12">
        <v>0</v>
      </c>
      <c r="L51" s="12">
        <v>0</v>
      </c>
      <c r="M51">
        <v>5.27</v>
      </c>
    </row>
    <row r="52" spans="1:13" x14ac:dyDescent="0.35">
      <c r="A52" t="s">
        <v>16</v>
      </c>
      <c r="B52">
        <v>10</v>
      </c>
      <c r="C52" t="s">
        <v>14</v>
      </c>
      <c r="D52" t="s">
        <v>83</v>
      </c>
      <c r="E52">
        <v>256</v>
      </c>
      <c r="F52">
        <v>36372</v>
      </c>
      <c r="G52" s="10">
        <v>290681</v>
      </c>
      <c r="H52" s="8">
        <v>0.12512685727653339</v>
      </c>
      <c r="I52" s="12">
        <v>0.62324400000000002</v>
      </c>
      <c r="J52">
        <v>51310</v>
      </c>
      <c r="K52" s="12">
        <v>0</v>
      </c>
      <c r="L52" s="12">
        <v>0</v>
      </c>
      <c r="M52">
        <v>5.14</v>
      </c>
    </row>
    <row r="53" spans="1:13" x14ac:dyDescent="0.35">
      <c r="A53" t="s">
        <v>17</v>
      </c>
      <c r="B53">
        <v>10</v>
      </c>
      <c r="C53" t="s">
        <v>14</v>
      </c>
      <c r="D53" t="s">
        <v>83</v>
      </c>
      <c r="E53">
        <v>256</v>
      </c>
      <c r="F53">
        <v>33942</v>
      </c>
      <c r="G53" s="10">
        <v>452352</v>
      </c>
      <c r="H53" s="8">
        <v>7.5034486417657045E-2</v>
      </c>
      <c r="I53" s="12">
        <v>0.644868</v>
      </c>
      <c r="J53">
        <v>96002</v>
      </c>
      <c r="K53" s="12">
        <v>0</v>
      </c>
      <c r="L53" s="12">
        <v>0</v>
      </c>
      <c r="M53">
        <v>10.66</v>
      </c>
    </row>
    <row r="54" spans="1:13" x14ac:dyDescent="0.35">
      <c r="A54" t="s">
        <v>18</v>
      </c>
      <c r="B54">
        <v>10</v>
      </c>
      <c r="C54" t="s">
        <v>14</v>
      </c>
      <c r="D54" t="s">
        <v>83</v>
      </c>
      <c r="E54">
        <v>256</v>
      </c>
      <c r="F54">
        <v>46021</v>
      </c>
      <c r="G54" s="10">
        <v>284554</v>
      </c>
      <c r="H54" s="8">
        <v>0.16173028669426542</v>
      </c>
      <c r="I54" s="12">
        <v>0.67186999999999997</v>
      </c>
      <c r="J54">
        <v>53136</v>
      </c>
      <c r="K54" s="12">
        <v>5.8339999999999998E-3</v>
      </c>
      <c r="L54" s="12">
        <v>6.4580000000000002E-3</v>
      </c>
      <c r="M54">
        <v>6.43</v>
      </c>
    </row>
    <row r="55" spans="1:13" x14ac:dyDescent="0.35">
      <c r="A55" t="s">
        <v>19</v>
      </c>
      <c r="B55">
        <v>10</v>
      </c>
      <c r="C55" t="s">
        <v>14</v>
      </c>
      <c r="D55" t="s">
        <v>83</v>
      </c>
      <c r="E55">
        <v>256</v>
      </c>
      <c r="F55">
        <v>43550</v>
      </c>
      <c r="G55" s="10">
        <v>249648</v>
      </c>
      <c r="H55" s="8">
        <v>0.17444561943216047</v>
      </c>
      <c r="I55" s="12">
        <v>0.65839099999999995</v>
      </c>
      <c r="J55">
        <v>50590</v>
      </c>
      <c r="K55" s="12">
        <v>0</v>
      </c>
      <c r="L55" s="12">
        <v>0</v>
      </c>
      <c r="M55">
        <v>4.5999999999999996</v>
      </c>
    </row>
    <row r="56" spans="1:13" x14ac:dyDescent="0.35">
      <c r="A56" t="s">
        <v>20</v>
      </c>
      <c r="B56">
        <v>10</v>
      </c>
      <c r="C56" t="s">
        <v>14</v>
      </c>
      <c r="D56" t="s">
        <v>83</v>
      </c>
      <c r="E56">
        <v>256</v>
      </c>
      <c r="F56">
        <v>62077</v>
      </c>
      <c r="G56" s="10">
        <v>145420</v>
      </c>
      <c r="H56" s="8">
        <v>0.42688075918030532</v>
      </c>
      <c r="I56" s="12">
        <v>6.8099999999999996E-4</v>
      </c>
      <c r="J56">
        <v>42</v>
      </c>
      <c r="K56" s="12">
        <v>0</v>
      </c>
      <c r="L56" s="12">
        <v>0</v>
      </c>
      <c r="M56">
        <v>0.93</v>
      </c>
    </row>
    <row r="57" spans="1:13" x14ac:dyDescent="0.35">
      <c r="A57" t="s">
        <v>21</v>
      </c>
      <c r="B57">
        <v>10</v>
      </c>
      <c r="C57" t="s">
        <v>14</v>
      </c>
      <c r="D57" t="s">
        <v>83</v>
      </c>
      <c r="E57">
        <v>256</v>
      </c>
      <c r="F57">
        <v>53190</v>
      </c>
      <c r="G57" s="10">
        <v>245220</v>
      </c>
      <c r="H57" s="8">
        <v>0.21690726694396867</v>
      </c>
      <c r="I57" s="12">
        <v>0.51319099999999995</v>
      </c>
      <c r="J57">
        <v>29176</v>
      </c>
      <c r="K57" s="12">
        <v>0</v>
      </c>
      <c r="L57" s="12">
        <v>0</v>
      </c>
      <c r="M57">
        <v>6.33</v>
      </c>
    </row>
    <row r="58" spans="1:13" x14ac:dyDescent="0.35">
      <c r="A58" t="s">
        <v>13</v>
      </c>
      <c r="B58">
        <v>10</v>
      </c>
      <c r="C58" t="s">
        <v>14</v>
      </c>
      <c r="D58" t="s">
        <v>84</v>
      </c>
      <c r="E58">
        <v>256</v>
      </c>
      <c r="F58">
        <v>49513</v>
      </c>
      <c r="G58" s="10">
        <v>217899</v>
      </c>
      <c r="H58" s="8">
        <v>0.22722912909191872</v>
      </c>
      <c r="I58" s="12">
        <v>0.61790699999999998</v>
      </c>
      <c r="J58">
        <v>41735</v>
      </c>
      <c r="K58" s="12">
        <v>3.594E-3</v>
      </c>
      <c r="L58" s="12">
        <v>5.202E-3</v>
      </c>
      <c r="M58">
        <v>13</v>
      </c>
    </row>
    <row r="59" spans="1:13" x14ac:dyDescent="0.35">
      <c r="A59" t="s">
        <v>15</v>
      </c>
      <c r="B59">
        <v>10</v>
      </c>
      <c r="C59" t="s">
        <v>14</v>
      </c>
      <c r="D59" t="s">
        <v>84</v>
      </c>
      <c r="E59">
        <v>256</v>
      </c>
      <c r="F59">
        <v>43580</v>
      </c>
      <c r="G59" s="10">
        <v>305808</v>
      </c>
      <c r="H59" s="8">
        <v>0.14250771726050332</v>
      </c>
      <c r="I59" s="12">
        <v>0.69886499999999996</v>
      </c>
      <c r="J59">
        <v>53675</v>
      </c>
      <c r="K59" s="12">
        <v>0</v>
      </c>
      <c r="L59" s="12">
        <v>0</v>
      </c>
      <c r="M59">
        <v>5.66</v>
      </c>
    </row>
    <row r="60" spans="1:13" x14ac:dyDescent="0.35">
      <c r="A60" t="s">
        <v>16</v>
      </c>
      <c r="B60">
        <v>10</v>
      </c>
      <c r="C60" t="s">
        <v>14</v>
      </c>
      <c r="D60" t="s">
        <v>84</v>
      </c>
      <c r="E60">
        <v>256</v>
      </c>
      <c r="F60">
        <v>36372</v>
      </c>
      <c r="G60" s="10">
        <v>290681</v>
      </c>
      <c r="H60" s="8">
        <v>0.12512685727653339</v>
      </c>
      <c r="I60" s="12">
        <v>0.62324400000000002</v>
      </c>
      <c r="J60">
        <v>50980</v>
      </c>
      <c r="K60" s="12">
        <v>0</v>
      </c>
      <c r="L60" s="12">
        <v>0</v>
      </c>
      <c r="M60">
        <v>4.9800000000000004</v>
      </c>
    </row>
    <row r="61" spans="1:13" x14ac:dyDescent="0.35">
      <c r="A61" t="s">
        <v>17</v>
      </c>
      <c r="B61">
        <v>10</v>
      </c>
      <c r="C61" t="s">
        <v>14</v>
      </c>
      <c r="D61" t="s">
        <v>84</v>
      </c>
      <c r="E61">
        <v>256</v>
      </c>
      <c r="F61">
        <v>33942</v>
      </c>
      <c r="G61" s="10">
        <v>452352</v>
      </c>
      <c r="H61" s="8">
        <v>7.5034486417657045E-2</v>
      </c>
      <c r="I61" s="12">
        <v>0.644868</v>
      </c>
      <c r="J61">
        <v>95642</v>
      </c>
      <c r="K61" s="12">
        <v>0</v>
      </c>
      <c r="L61" s="12">
        <v>0</v>
      </c>
      <c r="M61">
        <v>9.64</v>
      </c>
    </row>
    <row r="62" spans="1:13" x14ac:dyDescent="0.35">
      <c r="A62" t="s">
        <v>18</v>
      </c>
      <c r="B62">
        <v>10</v>
      </c>
      <c r="C62" t="s">
        <v>14</v>
      </c>
      <c r="D62" t="s">
        <v>84</v>
      </c>
      <c r="E62">
        <v>256</v>
      </c>
      <c r="F62">
        <v>46021</v>
      </c>
      <c r="G62" s="10">
        <v>284316</v>
      </c>
      <c r="H62" s="8">
        <v>0.16186567059187665</v>
      </c>
      <c r="I62" s="12">
        <v>0.68098400000000003</v>
      </c>
      <c r="J62">
        <v>52971</v>
      </c>
      <c r="K62" s="12">
        <v>2.8319999999999999E-3</v>
      </c>
      <c r="L62" s="12">
        <v>3.1250000000000002E-3</v>
      </c>
      <c r="M62">
        <v>6.46</v>
      </c>
    </row>
    <row r="63" spans="1:13" x14ac:dyDescent="0.35">
      <c r="A63" t="s">
        <v>19</v>
      </c>
      <c r="B63">
        <v>10</v>
      </c>
      <c r="C63" t="s">
        <v>14</v>
      </c>
      <c r="D63" t="s">
        <v>84</v>
      </c>
      <c r="E63">
        <v>256</v>
      </c>
      <c r="F63">
        <v>43550</v>
      </c>
      <c r="G63" s="10">
        <v>249648</v>
      </c>
      <c r="H63" s="8">
        <v>0.17444561943216047</v>
      </c>
      <c r="I63" s="12">
        <v>0.65839099999999995</v>
      </c>
      <c r="J63">
        <v>50260</v>
      </c>
      <c r="K63" s="12">
        <v>0</v>
      </c>
      <c r="L63" s="12">
        <v>0</v>
      </c>
      <c r="M63">
        <v>5.22</v>
      </c>
    </row>
    <row r="64" spans="1:13" x14ac:dyDescent="0.35">
      <c r="A64" t="s">
        <v>20</v>
      </c>
      <c r="B64">
        <v>10</v>
      </c>
      <c r="C64" t="s">
        <v>14</v>
      </c>
      <c r="D64" t="s">
        <v>84</v>
      </c>
      <c r="E64">
        <v>256</v>
      </c>
      <c r="F64">
        <v>62077</v>
      </c>
      <c r="G64" s="10">
        <v>145443</v>
      </c>
      <c r="H64" s="8">
        <v>0.42681325330198083</v>
      </c>
      <c r="I64" s="12">
        <v>6.8099999999999996E-4</v>
      </c>
      <c r="J64">
        <v>41</v>
      </c>
      <c r="K64" s="12">
        <v>0</v>
      </c>
      <c r="L64" s="12">
        <v>0</v>
      </c>
      <c r="M64">
        <v>0.97</v>
      </c>
    </row>
    <row r="65" spans="1:13" x14ac:dyDescent="0.35">
      <c r="A65" t="s">
        <v>21</v>
      </c>
      <c r="B65">
        <v>10</v>
      </c>
      <c r="C65" t="s">
        <v>14</v>
      </c>
      <c r="D65" t="s">
        <v>84</v>
      </c>
      <c r="E65">
        <v>256</v>
      </c>
      <c r="F65">
        <v>53190</v>
      </c>
      <c r="G65" s="10">
        <v>245159</v>
      </c>
      <c r="H65" s="8">
        <v>0.21696123740103362</v>
      </c>
      <c r="I65" s="12">
        <v>0.51304300000000003</v>
      </c>
      <c r="J65">
        <v>28688</v>
      </c>
      <c r="K65" s="12">
        <v>0</v>
      </c>
      <c r="L65" s="12">
        <v>0</v>
      </c>
      <c r="M65">
        <v>4.4000000000000004</v>
      </c>
    </row>
    <row r="66" spans="1:13" x14ac:dyDescent="0.35">
      <c r="A66" t="s">
        <v>13</v>
      </c>
      <c r="B66">
        <v>10</v>
      </c>
      <c r="C66" t="s">
        <v>14</v>
      </c>
      <c r="D66" t="s">
        <v>83</v>
      </c>
      <c r="E66">
        <v>512</v>
      </c>
      <c r="F66">
        <v>49513</v>
      </c>
      <c r="G66" s="10">
        <v>217634</v>
      </c>
      <c r="H66" s="8">
        <v>0.22750581251091281</v>
      </c>
      <c r="I66" s="12">
        <v>0.61391899999999999</v>
      </c>
      <c r="J66">
        <v>43300</v>
      </c>
      <c r="K66" s="12">
        <v>6.9280000000000001E-3</v>
      </c>
      <c r="L66" s="12">
        <v>1.0404E-2</v>
      </c>
      <c r="M66">
        <v>6.61</v>
      </c>
    </row>
    <row r="67" spans="1:13" x14ac:dyDescent="0.35">
      <c r="A67" t="s">
        <v>15</v>
      </c>
      <c r="B67">
        <v>10</v>
      </c>
      <c r="C67" t="s">
        <v>14</v>
      </c>
      <c r="D67" t="s">
        <v>83</v>
      </c>
      <c r="E67">
        <v>512</v>
      </c>
      <c r="F67">
        <v>43580</v>
      </c>
      <c r="G67" s="10">
        <v>305808</v>
      </c>
      <c r="H67" s="8">
        <v>0.14250771726050332</v>
      </c>
      <c r="I67" s="12">
        <v>0.69886499999999996</v>
      </c>
      <c r="J67">
        <v>54312</v>
      </c>
      <c r="K67" s="12">
        <v>0</v>
      </c>
      <c r="L67" s="12">
        <v>0</v>
      </c>
      <c r="M67">
        <v>6.33</v>
      </c>
    </row>
    <row r="68" spans="1:13" x14ac:dyDescent="0.35">
      <c r="A68" t="s">
        <v>16</v>
      </c>
      <c r="B68">
        <v>10</v>
      </c>
      <c r="C68" t="s">
        <v>14</v>
      </c>
      <c r="D68" t="s">
        <v>83</v>
      </c>
      <c r="E68">
        <v>512</v>
      </c>
      <c r="F68">
        <v>36372</v>
      </c>
      <c r="G68" s="10">
        <v>290681</v>
      </c>
      <c r="H68" s="8">
        <v>0.12512685727653339</v>
      </c>
      <c r="I68" s="12">
        <v>0.62324400000000002</v>
      </c>
      <c r="J68">
        <v>51310</v>
      </c>
      <c r="K68" s="12">
        <v>0</v>
      </c>
      <c r="L68" s="12">
        <v>0</v>
      </c>
      <c r="M68">
        <v>5.34</v>
      </c>
    </row>
    <row r="69" spans="1:13" x14ac:dyDescent="0.35">
      <c r="A69" t="s">
        <v>17</v>
      </c>
      <c r="B69">
        <v>10</v>
      </c>
      <c r="C69" t="s">
        <v>14</v>
      </c>
      <c r="D69" t="s">
        <v>83</v>
      </c>
      <c r="E69">
        <v>512</v>
      </c>
      <c r="F69">
        <v>33942</v>
      </c>
      <c r="G69" s="10">
        <v>452352</v>
      </c>
      <c r="H69" s="8">
        <v>7.5034486417657045E-2</v>
      </c>
      <c r="I69" s="12">
        <v>0.644868</v>
      </c>
      <c r="J69">
        <v>96002</v>
      </c>
      <c r="K69" s="12">
        <v>0</v>
      </c>
      <c r="L69" s="12">
        <v>0</v>
      </c>
      <c r="M69">
        <v>10.88</v>
      </c>
    </row>
    <row r="70" spans="1:13" x14ac:dyDescent="0.35">
      <c r="A70" t="s">
        <v>18</v>
      </c>
      <c r="B70">
        <v>10</v>
      </c>
      <c r="C70" t="s">
        <v>14</v>
      </c>
      <c r="D70" t="s">
        <v>83</v>
      </c>
      <c r="E70">
        <v>512</v>
      </c>
      <c r="F70">
        <v>46021</v>
      </c>
      <c r="G70" s="10">
        <v>284554</v>
      </c>
      <c r="H70" s="8">
        <v>0.16173028669426542</v>
      </c>
      <c r="I70" s="12">
        <v>0.67186999999999997</v>
      </c>
      <c r="J70">
        <v>53136</v>
      </c>
      <c r="K70" s="12">
        <v>5.8339999999999998E-3</v>
      </c>
      <c r="L70" s="12">
        <v>6.4580000000000002E-3</v>
      </c>
      <c r="M70">
        <v>6.44</v>
      </c>
    </row>
    <row r="71" spans="1:13" x14ac:dyDescent="0.35">
      <c r="A71" t="s">
        <v>19</v>
      </c>
      <c r="B71">
        <v>10</v>
      </c>
      <c r="C71" t="s">
        <v>14</v>
      </c>
      <c r="D71" t="s">
        <v>83</v>
      </c>
      <c r="E71">
        <v>512</v>
      </c>
      <c r="F71">
        <v>43550</v>
      </c>
      <c r="G71" s="10">
        <v>249648</v>
      </c>
      <c r="H71" s="8">
        <v>0.17444561943216047</v>
      </c>
      <c r="I71" s="12">
        <v>0.65839099999999995</v>
      </c>
      <c r="J71">
        <v>50590</v>
      </c>
      <c r="K71" s="12">
        <v>0</v>
      </c>
      <c r="L71" s="12">
        <v>0</v>
      </c>
      <c r="M71">
        <v>5.56</v>
      </c>
    </row>
    <row r="72" spans="1:13" x14ac:dyDescent="0.35">
      <c r="A72" t="s">
        <v>20</v>
      </c>
      <c r="B72">
        <v>10</v>
      </c>
      <c r="C72" t="s">
        <v>14</v>
      </c>
      <c r="D72" t="s">
        <v>83</v>
      </c>
      <c r="E72">
        <v>512</v>
      </c>
      <c r="F72">
        <v>62077</v>
      </c>
      <c r="G72" s="10">
        <v>145420</v>
      </c>
      <c r="H72" s="8">
        <v>0.42688075918030532</v>
      </c>
      <c r="I72" s="12">
        <v>6.8099999999999996E-4</v>
      </c>
      <c r="J72">
        <v>42</v>
      </c>
      <c r="K72" s="12">
        <v>0</v>
      </c>
      <c r="L72" s="12">
        <v>0</v>
      </c>
      <c r="M72">
        <v>1.03</v>
      </c>
    </row>
    <row r="73" spans="1:13" x14ac:dyDescent="0.35">
      <c r="A73" t="s">
        <v>21</v>
      </c>
      <c r="B73">
        <v>10</v>
      </c>
      <c r="C73" t="s">
        <v>14</v>
      </c>
      <c r="D73" t="s">
        <v>83</v>
      </c>
      <c r="E73">
        <v>512</v>
      </c>
      <c r="F73">
        <v>53190</v>
      </c>
      <c r="G73" s="10">
        <v>245220</v>
      </c>
      <c r="H73" s="8">
        <v>0.21690726694396867</v>
      </c>
      <c r="I73" s="12">
        <v>0.51319099999999995</v>
      </c>
      <c r="J73">
        <v>29176</v>
      </c>
      <c r="K73" s="12">
        <v>0</v>
      </c>
      <c r="L73" s="12">
        <v>0</v>
      </c>
      <c r="M73">
        <v>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Prefetcher Parameters</vt:lpstr>
      <vt:lpstr>Base</vt:lpstr>
      <vt:lpstr>Stride</vt:lpstr>
      <vt:lpstr>IMP</vt:lpstr>
      <vt:lpstr>VIMP</vt:lpstr>
      <vt:lpstr>ISB</vt:lpstr>
      <vt:lpstr>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Park</dc:creator>
  <cp:lastModifiedBy>William Park</cp:lastModifiedBy>
  <dcterms:created xsi:type="dcterms:W3CDTF">2026-06-22T16:31:40Z</dcterms:created>
  <dcterms:modified xsi:type="dcterms:W3CDTF">2026-07-15T06:25:03Z</dcterms:modified>
</cp:coreProperties>
</file>